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  <numFmt numFmtId="167" formatCode="0.0000"/>
    <numFmt numFmtId="168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workbookViewId="0" rightToLeft="0"/>
  </sheetViews>
  <sheetData>
    <row r="2">
      <c r="B2" t="str">
        <v>BẢN VẼ SẢN XUẤT XINGFA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98000</v>
      </c>
      <c r="H4" t="str">
        <v>Cửa sổ mở quay 2 cánh</v>
      </c>
    </row>
    <row r="5">
      <c r="B5" t="str">
        <v>Rộng Cửa (B) (mm)</v>
      </c>
      <c r="C5">
        <v>1500</v>
      </c>
      <c r="F5" t="str">
        <v>Giá kính (VNĐ/m2)</v>
      </c>
      <c r="G5">
        <v>245000</v>
      </c>
      <c r="H5">
        <f>C9</f>
        <v>1</v>
      </c>
      <c r="I5">
        <f>C12</f>
        <v>2.7</v>
      </c>
    </row>
    <row r="6">
      <c r="B6" t="str">
        <v>Cao Cửa (H) (mm)</v>
      </c>
      <c r="C6">
        <v>1800</v>
      </c>
      <c r="F6" t="str">
        <v>(1)-Cánh cửa đi ngậm khung</v>
      </c>
      <c r="G6">
        <v>6</v>
      </c>
    </row>
    <row r="7">
      <c r="B7" t="str">
        <v>H1 (mm)</v>
      </c>
      <c r="C7">
        <v>1200</v>
      </c>
      <c r="F7" t="str">
        <v>(2)-Cánh cửa sổ ngậm khung</v>
      </c>
      <c r="G7">
        <v>6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</row>
    <row r="10">
      <c r="B10" t="str">
        <v>Giá nhôm (VNĐ/Kg)</v>
      </c>
      <c r="C10">
        <v>98000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F11" t="str">
        <v>Khung cửa đi quay (kg/m)</v>
      </c>
      <c r="G11">
        <v>1.338</v>
      </c>
    </row>
    <row r="12">
      <c r="B12" t="str">
        <v>Diện tích/bộ</v>
      </c>
      <c r="C12">
        <f>C5*C6/10^6</f>
        <v>2.7</v>
      </c>
      <c r="E12">
        <f>C5</f>
        <v>1500</v>
      </c>
      <c r="F12" t="str">
        <v>Khung cửa sổ quay (kg/m)</v>
      </c>
      <c r="G12">
        <v>0.94</v>
      </c>
    </row>
    <row r="13">
      <c r="B13" t="str">
        <v>Tổng diện tích</v>
      </c>
      <c r="C13">
        <f>C12*C9</f>
        <v>2.7</v>
      </c>
      <c r="F13" t="str">
        <v>Khung vách (kg/m)</v>
      </c>
      <c r="G13">
        <v>0.851</v>
      </c>
    </row>
    <row r="14">
      <c r="F14" t="str">
        <v>Đố chia khung mở quay (kg/m)</v>
      </c>
      <c r="G14">
        <v>1.127</v>
      </c>
    </row>
    <row r="15">
      <c r="F15" t="str">
        <v>Đố chia cánh, vách (kg/m)</v>
      </c>
      <c r="G15">
        <v>1.03</v>
      </c>
    </row>
    <row r="16">
      <c r="F16" t="str">
        <v>Cánh đi mở quay (kg/m)</v>
      </c>
      <c r="G16">
        <v>1.539</v>
      </c>
    </row>
    <row r="17">
      <c r="F17" t="str">
        <v>Cánh ngang dưới Cđi (kg/m)</v>
      </c>
      <c r="G17">
        <v>2.149</v>
      </c>
    </row>
    <row r="18">
      <c r="F18" t="str">
        <v>Đố động cửa đi (kg/m)</v>
      </c>
      <c r="G18">
        <v>1.188</v>
      </c>
    </row>
    <row r="19">
      <c r="F19" t="str">
        <v>Cánh cửa sổ quay (kg/m)</v>
      </c>
      <c r="G19">
        <v>1.164</v>
      </c>
    </row>
    <row r="20">
      <c r="F20" t="str">
        <v>Đố động cửa sổ (kg/m)</v>
      </c>
      <c r="G20">
        <v>1.188</v>
      </c>
    </row>
    <row r="21">
      <c r="F21" t="str">
        <v>Nẹp cánh, vách (kg/m)</v>
      </c>
      <c r="G21">
        <v>0.285</v>
      </c>
    </row>
    <row r="22">
      <c r="F22" t="str">
        <v>Nẹp vách liền cửa (kg/m)</v>
      </c>
      <c r="G22">
        <v>0.237</v>
      </c>
    </row>
    <row r="23">
      <c r="F23" t="str">
        <v>Ốp chân cánh (kg/m)</v>
      </c>
      <c r="G23">
        <v>0.454</v>
      </c>
    </row>
    <row r="24">
      <c r="F24" t="str">
        <v>Nối khung (kg/m)</v>
      </c>
      <c r="G24">
        <v>0.388</v>
      </c>
    </row>
    <row r="25">
      <c r="F25" t="str">
        <v>Khung trên cửa trượt (kg/m)</v>
      </c>
      <c r="G25">
        <v>1.55</v>
      </c>
    </row>
    <row r="26">
      <c r="F26" t="str">
        <v>khung dưới ray lệch 25-35 (kg/m)</v>
      </c>
      <c r="G26">
        <v>1.425</v>
      </c>
    </row>
    <row r="27">
      <c r="F27" t="str">
        <v>khung dưới ray bằng 25 (kg/m)</v>
      </c>
      <c r="G27">
        <v>1.572</v>
      </c>
    </row>
    <row r="28">
      <c r="F28" t="str">
        <v>Khung Đứng cửa trượt (kg/m)</v>
      </c>
      <c r="G28">
        <v>1.203</v>
      </c>
    </row>
    <row r="29">
      <c r="F29" t="str">
        <v>Cánh trên H93A cửa trượt (kg/m)</v>
      </c>
      <c r="G29">
        <v>0.915</v>
      </c>
    </row>
    <row r="30">
      <c r="F30" t="str">
        <v>Cánh dưới H93A cửa trượt (kg/m)</v>
      </c>
      <c r="G30">
        <v>0.949</v>
      </c>
    </row>
    <row r="31">
      <c r="F31" t="str">
        <v>Cánh đứng H93A cửa trượt (kg/m)</v>
      </c>
      <c r="G31">
        <v>1.506</v>
      </c>
    </row>
    <row r="32">
      <c r="F32" t="str">
        <v>Cánh móc H93A cửa trượt (kg/m)</v>
      </c>
      <c r="G32">
        <v>1.477</v>
      </c>
    </row>
    <row r="33">
      <c r="F33" t="str">
        <v>Hèm đối đầu (kg/m)</v>
      </c>
      <c r="G33">
        <v>0.462</v>
      </c>
    </row>
    <row r="34">
      <c r="F34" t="str">
        <v>Khung vách kính trượt (kg/m)</v>
      </c>
      <c r="G34">
        <v>1.137</v>
      </c>
    </row>
    <row r="35">
      <c r="F35" t="str">
        <v>Ốp vách (kg/m)</v>
      </c>
      <c r="G35">
        <v>0.756</v>
      </c>
    </row>
    <row r="36">
      <c r="F36" t="str">
        <v>Đố T vách kính trượt (kg/m)</v>
      </c>
      <c r="G36">
        <v>1.782</v>
      </c>
    </row>
    <row r="37">
      <c r="F37" t="str">
        <v>Sập vách cửa trượt (kg/m)</v>
      </c>
      <c r="G37">
        <v>0.141</v>
      </c>
    </row>
    <row r="38">
      <c r="F38" t="str">
        <v>Khung cửa trượt 55 (kg/m)</v>
      </c>
      <c r="G38">
        <v>0.95</v>
      </c>
    </row>
    <row r="39">
      <c r="F39" t="str">
        <v>Cánh cửa trượt 55 (kg/m)</v>
      </c>
      <c r="G39">
        <v>0.936</v>
      </c>
    </row>
    <row r="40">
      <c r="F40" t="str">
        <v>Móc cánh cửa trượt 55 (kg/m)</v>
      </c>
      <c r="G40">
        <v>0.366</v>
      </c>
    </row>
    <row r="41">
      <c r="F41" t="str">
        <v>Hèm đối đầu trượt 55 (kg/m)</v>
      </c>
      <c r="G41">
        <v>0.229</v>
      </c>
    </row>
    <row r="42">
      <c r="F42" t="str">
        <v>Khung ngang trên liền fix (kg/m)</v>
      </c>
      <c r="G42">
        <v>2.298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bao cửa bật</v>
      </c>
      <c r="C46" t="str">
        <v>Ngang</v>
      </c>
      <c r="D46" t="str">
        <v>AM5502</v>
      </c>
      <c r="E46" t="str">
        <v>45-45</v>
      </c>
      <c r="F46">
        <f>$C$9*J46</f>
        <v>1</v>
      </c>
      <c r="G46">
        <f>C5</f>
        <v>1500</v>
      </c>
      <c r="H46">
        <f>$G$12</f>
        <v>0.94</v>
      </c>
      <c r="I46">
        <f>F46*G46*H46/1000</f>
        <v>1.41</v>
      </c>
      <c r="J46">
        <v>1</v>
      </c>
    </row>
    <row r="47">
      <c r="B47" t="str">
        <v>Khung bao cửa bật</v>
      </c>
      <c r="C47" t="str">
        <v>Cung tròn</v>
      </c>
      <c r="D47" t="str">
        <v>AM5502</v>
      </c>
      <c r="E47" t="str">
        <v>T.Tế</v>
      </c>
      <c r="F47">
        <f>$C$9*J47</f>
        <v>1</v>
      </c>
      <c r="G47">
        <f>(C5/2+C6-C7)/2*3.14+C7*2</f>
        <v>4519.5</v>
      </c>
      <c r="H47">
        <f>$G$12</f>
        <v>0.94</v>
      </c>
      <c r="I47">
        <f>F47*G47*H47/1000</f>
        <v>4.24833</v>
      </c>
      <c r="J47">
        <v>1</v>
      </c>
    </row>
    <row r="48">
      <c r="B48" t="str">
        <v>Khung cánh bật</v>
      </c>
      <c r="C48" t="str">
        <v>Ngang</v>
      </c>
      <c r="D48" t="str">
        <v>AM5504</v>
      </c>
      <c r="E48" t="str">
        <v>45-45</v>
      </c>
      <c r="F48">
        <f>$C$9*J48</f>
        <v>2</v>
      </c>
      <c r="G48">
        <f>G46/2-31+G7-G10/2</f>
        <v>722.5</v>
      </c>
      <c r="H48">
        <f>$G$19</f>
        <v>1.164</v>
      </c>
      <c r="I48">
        <f>F48*G48*H48/1000</f>
        <v>1.6819799999999998</v>
      </c>
      <c r="J48">
        <v>2</v>
      </c>
    </row>
    <row r="49">
      <c r="B49" t="str">
        <v>Khung cánh bật</v>
      </c>
      <c r="C49" t="str">
        <v>Đứng</v>
      </c>
      <c r="D49" t="str">
        <v>AM5504</v>
      </c>
      <c r="E49" t="str">
        <v>T.Tế</v>
      </c>
      <c r="F49">
        <f>$C$9*J49</f>
        <v>2</v>
      </c>
      <c r="G49">
        <f>C6-50-12+G7*2</f>
        <v>1750</v>
      </c>
      <c r="H49">
        <f>$G$19</f>
        <v>1.164</v>
      </c>
      <c r="I49">
        <f>F49*G49*H49/1000</f>
        <v>4.074</v>
      </c>
      <c r="J49">
        <v>2</v>
      </c>
    </row>
    <row r="50">
      <c r="B50" t="str">
        <v>Khung cánh bật</v>
      </c>
      <c r="C50" t="str">
        <v>Cung tròn</v>
      </c>
      <c r="D50" t="str">
        <v>AM5504</v>
      </c>
      <c r="E50" t="str">
        <v>T.Tế</v>
      </c>
      <c r="F50">
        <f>$C$9*J50</f>
        <v>2</v>
      </c>
      <c r="G50">
        <f>G48+G49</f>
        <v>2472.5</v>
      </c>
      <c r="H50">
        <f>$G$19</f>
        <v>1.164</v>
      </c>
      <c r="I50">
        <f>F50*G50*H50/1000</f>
        <v>5.755979999999999</v>
      </c>
      <c r="J50">
        <v>2</v>
      </c>
    </row>
    <row r="51">
      <c r="B51" t="str">
        <v>Nẹp cánh 14</v>
      </c>
      <c r="C51" t="str">
        <v>Ngang</v>
      </c>
      <c r="D51" t="str">
        <v>AM5510</v>
      </c>
      <c r="E51" t="str">
        <v>90-90</v>
      </c>
      <c r="F51">
        <f>$C$9*J51</f>
        <v>2</v>
      </c>
      <c r="G51">
        <f>G48-57*2</f>
        <v>608.5</v>
      </c>
      <c r="H51">
        <f>$G$21</f>
        <v>0.285</v>
      </c>
      <c r="I51">
        <f>F51*G51*H51/1000</f>
        <v>0.34684499999999996</v>
      </c>
      <c r="J51">
        <v>2</v>
      </c>
    </row>
    <row r="52">
      <c r="B52" t="str">
        <v>Nẹp cánh 14</v>
      </c>
      <c r="C52" t="str">
        <v>Đứng</v>
      </c>
      <c r="D52" t="str">
        <v>AM5510</v>
      </c>
      <c r="E52" t="str">
        <v>90-90</v>
      </c>
      <c r="F52">
        <f>$C$9*J52</f>
        <v>2</v>
      </c>
      <c r="G52">
        <f>G49-76*2</f>
        <v>1598</v>
      </c>
      <c r="H52">
        <f>$G$21</f>
        <v>0.285</v>
      </c>
      <c r="I52">
        <f>F52*G52*H52/1000</f>
        <v>0.9108599999999999</v>
      </c>
      <c r="J52">
        <v>2</v>
      </c>
    </row>
    <row r="53">
      <c r="B53" t="str">
        <v>Nẹp cánh 14</v>
      </c>
      <c r="C53" t="str">
        <v>Cung tròn</v>
      </c>
      <c r="D53" t="str">
        <v>AM5510</v>
      </c>
      <c r="E53" t="str">
        <v>T.Tế</v>
      </c>
      <c r="F53">
        <f>$C$9*J53</f>
        <v>2</v>
      </c>
      <c r="G53">
        <f>G50-57*2</f>
        <v>2358.5</v>
      </c>
      <c r="H53">
        <f>$G$21</f>
        <v>0.285</v>
      </c>
      <c r="I53">
        <f>F53*G53*H53/1000</f>
        <v>1.344345</v>
      </c>
      <c r="J53">
        <v>2</v>
      </c>
    </row>
    <row r="54">
      <c r="B54" t="str">
        <v>Khung trung gian 2 cánh</v>
      </c>
      <c r="C54" t="str">
        <v>Đứng</v>
      </c>
      <c r="D54" t="str">
        <v>AM5520</v>
      </c>
      <c r="E54" t="str">
        <v>90-90</v>
      </c>
      <c r="F54">
        <f>$C$9*J54</f>
        <v>1</v>
      </c>
      <c r="G54">
        <f>G49-32*2</f>
        <v>1686</v>
      </c>
      <c r="H54">
        <f>$G$20</f>
        <v>1.188</v>
      </c>
      <c r="I54">
        <f>F54*G54*H54/1000</f>
        <v>2.0029679999999996</v>
      </c>
      <c r="J54">
        <v>1</v>
      </c>
    </row>
    <row r="57">
      <c r="B57" t="str">
        <v>KÍCH THƯỚC CẮT KÍNH</v>
      </c>
    </row>
    <row r="58">
      <c r="B58" t="str">
        <v>Tên kính</v>
      </c>
      <c r="C58" t="str">
        <v>Rộng</v>
      </c>
      <c r="D58" t="str">
        <v>Cao</v>
      </c>
      <c r="E58" t="str">
        <v>Số lượng</v>
      </c>
      <c r="F58" t="str">
        <v>Diện tích kính (m2)</v>
      </c>
      <c r="G58" t="str">
        <v>Vị trí</v>
      </c>
    </row>
    <row r="59">
      <c r="B59">
        <f>C8</f>
        <v>6</v>
      </c>
      <c r="C59">
        <f>G48-57*2-7</f>
        <v>601.5</v>
      </c>
      <c r="D59">
        <f>G49-57*2-7</f>
        <v>1629</v>
      </c>
      <c r="E59">
        <f>2*C9</f>
        <v>2</v>
      </c>
      <c r="F59">
        <f>E59*D59*C59/10^6</f>
        <v>1.959687</v>
      </c>
      <c r="G59" t="str">
        <v>T.Tế</v>
      </c>
    </row>
    <row r="62">
      <c r="B62" t="str">
        <v>PHỤ KIỆN</v>
      </c>
      <c r="C62" t="str">
        <v>sổ 2 cánh</v>
      </c>
    </row>
    <row r="63">
      <c r="B63" t="str">
        <v>Tên</v>
      </c>
      <c r="C63" t="str">
        <v>Mã</v>
      </c>
      <c r="D63" t="str">
        <v>ĐVT</v>
      </c>
      <c r="E63" t="str">
        <v>Số lượng</v>
      </c>
    </row>
    <row r="64">
      <c r="B64" t="str">
        <v>Bản lề cửa sổ XF</v>
      </c>
      <c r="C64" t="str">
        <v>XF-SBL</v>
      </c>
      <c r="D64" t="str">
        <v>Chiếc</v>
      </c>
      <c r="E64">
        <f>H64*$H$5</f>
        <v>4</v>
      </c>
      <c r="H64">
        <v>4</v>
      </c>
    </row>
    <row r="65">
      <c r="B65" t="str">
        <v>Tay nắm cửa sổ mở quay XF</v>
      </c>
      <c r="C65" t="str">
        <v>XF-STN</v>
      </c>
      <c r="D65" t="str">
        <v>Chiếc</v>
      </c>
      <c r="E65">
        <f>H65*$H$5</f>
        <v>1</v>
      </c>
      <c r="H65">
        <v>1</v>
      </c>
    </row>
    <row r="66">
      <c r="B66" t="str">
        <v>Thanh chuyển động XF</v>
      </c>
      <c r="C66" t="str">
        <v>XF-STCD</v>
      </c>
      <c r="D66" t="str">
        <v>Thanh</v>
      </c>
      <c r="E66">
        <f>H66*$H$5</f>
        <v>1</v>
      </c>
      <c r="H66">
        <v>1</v>
      </c>
    </row>
    <row r="67">
      <c r="B67" t="str">
        <v>Vấu 2 cánh cửa sổ XF</v>
      </c>
      <c r="C67" t="str">
        <v>XF-SV2C</v>
      </c>
      <c r="D67" t="str">
        <v>Chiếc</v>
      </c>
      <c r="E67">
        <f>H67*$H$5</f>
        <v>2</v>
      </c>
      <c r="H67">
        <v>2</v>
      </c>
    </row>
    <row r="68">
      <c r="B68" t="str">
        <v>Chốt cánh phụ cửa sổ XF</v>
      </c>
      <c r="C68" t="str">
        <v>XF-SCCP</v>
      </c>
      <c r="D68" t="str">
        <v>Chiếc</v>
      </c>
      <c r="E68">
        <f>H68*$H$5</f>
        <v>2</v>
      </c>
      <c r="H68">
        <v>2</v>
      </c>
    </row>
    <row r="69">
      <c r="B69" t="str">
        <v>Nắp bịt đố động XF</v>
      </c>
      <c r="C69" t="str">
        <v>XF-BDD</v>
      </c>
      <c r="D69" t="str">
        <v>Cặp</v>
      </c>
      <c r="E69">
        <f>H69*$H$5</f>
        <v>1</v>
      </c>
      <c r="H69">
        <v>1</v>
      </c>
    </row>
    <row r="70">
      <c r="B70" t="str">
        <v>Ke khung cửa sổ XF</v>
      </c>
      <c r="C70" t="str">
        <v>XF-SKK</v>
      </c>
      <c r="D70" t="str">
        <v>Chiếc</v>
      </c>
      <c r="E70">
        <f>H70*$H$5</f>
        <v>4</v>
      </c>
      <c r="H70">
        <v>4</v>
      </c>
    </row>
    <row r="71">
      <c r="B71" t="str">
        <v>Ke cánh cửa sổ XF</v>
      </c>
      <c r="C71" t="str">
        <v>XF-SKC</v>
      </c>
      <c r="D71" t="str">
        <v>Chiếc</v>
      </c>
      <c r="E71">
        <f>H71*$H$5</f>
        <v>8</v>
      </c>
      <c r="H71">
        <v>8</v>
      </c>
    </row>
    <row r="72">
      <c r="B72" t="str">
        <v>Ke tăng cứng XF</v>
      </c>
      <c r="C72" t="str">
        <v>XF-KTC</v>
      </c>
      <c r="D72" t="str">
        <v>Chiếc</v>
      </c>
      <c r="E72">
        <f>H72*$H$5</f>
        <v>8</v>
      </c>
      <c r="H72">
        <v>8</v>
      </c>
    </row>
    <row r="75">
      <c r="B75" t="str">
        <v>BẢNG TÍNH GIÁ THÀNH</v>
      </c>
    </row>
    <row r="76">
      <c r="B76" t="str">
        <v>Tên gọi</v>
      </c>
      <c r="C76" t="str">
        <v>Đơn vị tính</v>
      </c>
      <c r="D76" t="str">
        <v>Số lượng</v>
      </c>
      <c r="E76" t="str">
        <v>Đơn giá</v>
      </c>
      <c r="F76" t="str">
        <v>Thành tiền</v>
      </c>
    </row>
    <row r="77">
      <c r="B77" t="str">
        <v>Nhôm (VNĐ)</v>
      </c>
      <c r="C77" t="str">
        <v>Kg</v>
      </c>
      <c r="D77">
        <f>SUM(I46:I54)</f>
        <v>21.775308</v>
      </c>
      <c r="E77">
        <f>C10</f>
        <v>98000</v>
      </c>
      <c r="F77">
        <f>E77*D77</f>
        <v>2133980.184</v>
      </c>
    </row>
    <row r="78">
      <c r="B78" t="str">
        <v>Kính (VNĐ)</v>
      </c>
      <c r="C78" t="str">
        <v>m2</v>
      </c>
      <c r="D78">
        <f>SUM(F59:F59)</f>
        <v>1.959687</v>
      </c>
      <c r="E78">
        <f>C11</f>
        <v>245000</v>
      </c>
      <c r="F78">
        <f>E78*D78</f>
        <v>480123.315</v>
      </c>
    </row>
    <row r="79">
      <c r="B79" t="str">
        <v>Phụ Kiện (tự nhập) (VNĐ)</v>
      </c>
    </row>
    <row r="80">
      <c r="B80" t="str">
        <v>Vật Tư Phụ (tự nhập) (VNĐ)</v>
      </c>
    </row>
    <row r="81">
      <c r="B81" t="str">
        <v>Công Sản Xuất + Lắp Đặt (VNĐ)</v>
      </c>
    </row>
    <row r="82">
      <c r="B82" t="str">
        <v>Tổng (chưa tính hao hụt nhôm)</v>
      </c>
      <c r="F82">
        <f>SUM(F77:F81)</f>
        <v>2614103.499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B57</v>
      </c>
      <c r="D2" t="str">
        <v>B62</v>
      </c>
      <c r="E2" t="str">
        <v>B75</v>
      </c>
    </row>
    <row r="3">
      <c r="A3" t="str">
        <v>C10</v>
      </c>
      <c r="B3" t="str">
        <v>G54</v>
      </c>
      <c r="C3" t="str">
        <v>G59</v>
      </c>
      <c r="D3" t="str">
        <v>E72</v>
      </c>
      <c r="E3" t="str">
        <v>F82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F82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2023-08-17T06:38:23Z</dcterms:modified>
  <cp:lastModifiedBy>ACER</cp:lastModifiedBy>
  <cp:lastPrinted>2014-12-05T03:23:20Z</cp:lastPrinted>
  <dc:creator>Windows User</dc:creator>
</cp:coreProperties>
</file>