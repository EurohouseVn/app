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 standalone="yes"?>
<workbook xmlns="http://schemas.openxmlformats.org/spreadsheetml/2006/main" xmlns:r="http://schemas.openxmlformats.org/officeDocument/2006/relationships"><workbookPr codeName="ThisWorkbook" defaultThemeVersion="124226"/><sheets><sheet name="CSMQ1c+fix" sheetId="1" r:id="rId1"/><sheet name="TSS1" sheetId="2" r:id="rId2"/></sheets><definedNames><definedName name="AllSh">SUBSTITUTE(ShN,"["&Wb&"]","")</definedName><definedName name="EP08E">'[1]gia vat tu'!$D$13</definedName><definedName name="EP265K">'[1]gia vat tu'!$D$16</definedName><definedName name="EP27E">'[1]gia vat tu'!$D$14</definedName><definedName name="Glass" localSheetId="0">[2]Glass!$B$8:$B$17</definedName><definedName name="Henhom" localSheetId="0">[2]Alu!$D$91:$D$95</definedName><definedName name="K_Inox">'[1]gia vat tu'!$D$21</definedName><definedName name="Keo_bot">'[1]gia vat tu'!$D$20</definedName><definedName name="kinh">#REF!</definedName><definedName name="MA_CSMQXF55">[2]Alu!$B$33:$B$48</definedName><definedName name="SiK">'[1]gia vat tu'!$D$18</definedName><definedName name="SiT">'[1]gia vat tu'!$D$19</definedName><definedName name="VIT_Inox">'[1]gia vat tu'!$D$24</definedName><definedName name="vitri">[2]Alu!$D$97:$D$109</definedName><definedName name="VT_PHU" localSheetId="0">[2]Phụ!$B$2:$B$14</definedName></definedNames></workbook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&quot;H2=&quot;0"/>
    <numFmt numFmtId="166" formatCode="_(* #,##0.0_);_(* \(#,##0.0\);_(* &quot;-&quot;??_);_(@_)"/>
    <numFmt numFmtId="167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5"/>
  <sheetViews>
    <sheetView workbookViewId="0"/>
  </sheetViews>
  <sheetData>
    <row r="1">
      <c r="L1" t="str">
        <v>Cửa đi HD</v>
      </c>
    </row>
    <row r="2">
      <c r="B2" t="str">
        <v>BẢN VẼ SẢN XUẤT XINGFA</v>
      </c>
      <c r="K2" t="str">
        <v>Mã Vlookup</v>
      </c>
      <c r="L2" t="str">
        <v>TÊN</v>
      </c>
      <c r="M2" t="str">
        <v>MÃ</v>
      </c>
      <c r="N2" t="str">
        <v>GÓC CẮT</v>
      </c>
      <c r="O2" t="str">
        <v>TL(kg/m)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  <c r="K3" t="str">
        <f>M3</f>
        <v>EX1345</v>
      </c>
      <c r="L3" t="str">
        <v>HD- Khung cửa mở quay</v>
      </c>
      <c r="M3" t="str">
        <v>EX1345</v>
      </c>
      <c r="N3" t="str">
        <v>45-45</v>
      </c>
    </row>
    <row r="4">
      <c r="B4" t="str">
        <v>Ký hiệu cửa</v>
      </c>
      <c r="C4" t="str">
        <v>Bổ sung</v>
      </c>
      <c r="F4" t="str">
        <v>Giá nhôm (VNĐ/Kg)</v>
      </c>
      <c r="G4">
        <v>90000</v>
      </c>
      <c r="H4" t="str">
        <v>Bổ sung cánh cửa sổ</v>
      </c>
      <c r="K4" t="str">
        <f>M4</f>
        <v>EX1347</v>
      </c>
      <c r="L4" t="str">
        <v>HD- Đố chia khung</v>
      </c>
      <c r="M4" t="str">
        <v>EX1347</v>
      </c>
      <c r="N4" t="str">
        <v>90-90</v>
      </c>
    </row>
    <row r="5">
      <c r="B5" t="str">
        <v>…</v>
      </c>
      <c r="C5">
        <v>0</v>
      </c>
      <c r="F5" t="str">
        <v>Giá kính (VNĐ/m2)</v>
      </c>
      <c r="G5">
        <v>245000</v>
      </c>
      <c r="H5">
        <f>C10</f>
        <v>1</v>
      </c>
      <c r="I5">
        <f>C13</f>
        <v>0</v>
      </c>
      <c r="K5" t="str">
        <f>M5</f>
        <v>EX1361</v>
      </c>
      <c r="L5" t="str">
        <v>HD- Cánh đi mở ngoài</v>
      </c>
      <c r="M5" t="str">
        <v>EX1361</v>
      </c>
      <c r="N5" t="str">
        <v>45-45</v>
      </c>
    </row>
    <row r="6">
      <c r="B6" t="str">
        <v>…</v>
      </c>
      <c r="C6">
        <v>0</v>
      </c>
      <c r="F6" t="str">
        <v>(1)-Cánh cửa đi ngậm khung</v>
      </c>
      <c r="G6">
        <v>7</v>
      </c>
      <c r="K6" t="str">
        <f>M6</f>
        <v>EX1343</v>
      </c>
      <c r="L6" t="str">
        <v>HD- Cánh đi mở trong</v>
      </c>
      <c r="M6" t="str">
        <v>EX1343</v>
      </c>
      <c r="N6" t="str">
        <v>45-45</v>
      </c>
    </row>
    <row r="7">
      <c r="B7" t="str">
        <v>B1 (mm)</v>
      </c>
      <c r="C7">
        <v>680</v>
      </c>
      <c r="F7" t="str">
        <v>(2)-Cánh cửa sổ ngậm khung</v>
      </c>
      <c r="G7">
        <v>7</v>
      </c>
      <c r="K7" t="str">
        <f>M7</f>
        <v>EX1346</v>
      </c>
      <c r="L7" t="str">
        <v>HD- Đố động</v>
      </c>
      <c r="M7" t="str">
        <v>EX1346</v>
      </c>
      <c r="N7" t="str">
        <v>90-90</v>
      </c>
    </row>
    <row r="8">
      <c r="B8" t="str">
        <v>H1 (mm)</v>
      </c>
      <c r="C8">
        <v>380</v>
      </c>
      <c r="F8" t="str">
        <v>(3)-Khe hở giữa cửa đi 2 (4) cánh</v>
      </c>
      <c r="G8">
        <v>5</v>
      </c>
      <c r="K8" t="str">
        <f>M8</f>
        <v>EX1348</v>
      </c>
      <c r="L8" t="str">
        <v>HD- Đố cánh cửa đi</v>
      </c>
      <c r="M8" t="str">
        <v>EX1348</v>
      </c>
      <c r="N8" t="str">
        <v>90-90</v>
      </c>
    </row>
    <row r="9">
      <c r="B9" t="str">
        <v>Loại kính</v>
      </c>
      <c r="C9">
        <v>6</v>
      </c>
      <c r="F9" t="str">
        <v>(4)-Khe hở cánh cửa đi 4 cánh</v>
      </c>
      <c r="G9">
        <v>5</v>
      </c>
      <c r="K9" t="str">
        <f>M9</f>
        <v>EX1351</v>
      </c>
      <c r="L9" t="str">
        <v>HD- Nẹp cánh</v>
      </c>
      <c r="M9" t="str">
        <v>EX1351</v>
      </c>
      <c r="N9" t="str">
        <v>45-45</v>
      </c>
    </row>
    <row r="10">
      <c r="B10" t="str">
        <v>Số bộ</v>
      </c>
      <c r="C10">
        <v>1</v>
      </c>
      <c r="F10" t="str">
        <v>(5)-Khe hở giữa cửa sổ 2 cánh</v>
      </c>
      <c r="G10">
        <v>5</v>
      </c>
      <c r="K10" t="str">
        <f>M10</f>
        <v>EX000</v>
      </c>
      <c r="L10" t="str">
        <v>HD- Ốp đáy</v>
      </c>
      <c r="M10" t="str">
        <v>EX000</v>
      </c>
      <c r="N10" t="str">
        <v>90-90</v>
      </c>
    </row>
    <row r="11">
      <c r="B11" t="str">
        <v>Giá nhôm (VNĐ/Kg)</v>
      </c>
      <c r="C11">
        <v>90000</v>
      </c>
      <c r="F11" t="str">
        <v>(6)-Cánh cửa trượt ngậm khung</v>
      </c>
      <c r="G11">
        <v>9</v>
      </c>
      <c r="K11" t="str">
        <f>M11</f>
        <v>EX1352</v>
      </c>
      <c r="L11" t="str">
        <v>HD- Nẹp vách</v>
      </c>
      <c r="M11" t="str">
        <v>EX1352</v>
      </c>
      <c r="N11" t="str">
        <v>90-90</v>
      </c>
    </row>
    <row r="12">
      <c r="B12" t="str">
        <v>Giá kính (VNĐ/m2)</v>
      </c>
      <c r="C12">
        <v>0</v>
      </c>
      <c r="F12" t="str">
        <v>(7)-Khe hở kính</v>
      </c>
      <c r="G12">
        <v>7</v>
      </c>
      <c r="K12" t="str">
        <f>M12</f>
        <v>EX1349</v>
      </c>
      <c r="L12" t="str">
        <v>HD- Nối khung</v>
      </c>
      <c r="M12" t="str">
        <v>EX1349</v>
      </c>
      <c r="N12" t="str">
        <v>90-90</v>
      </c>
    </row>
    <row r="13">
      <c r="B13" t="str">
        <v>Diện tích/bộ</v>
      </c>
      <c r="C13">
        <f>C5*C6/10^6</f>
        <v>0</v>
      </c>
      <c r="F13" t="str">
        <v>(8)-Cao khung mở quay (tính cánh)</v>
      </c>
      <c r="G13">
        <v>41</v>
      </c>
      <c r="L13" t="str">
        <v>Cửa sổ HD</v>
      </c>
    </row>
    <row r="14">
      <c r="B14" t="str">
        <v>Tổng diện tích</v>
      </c>
      <c r="C14">
        <f>C10*C13</f>
        <v>0</v>
      </c>
      <c r="F14" t="str">
        <v>(9)-Cao khung mở quay (tính đố)</v>
      </c>
      <c r="G14">
        <v>29</v>
      </c>
      <c r="K14" t="str">
        <v>Mã Vlookup</v>
      </c>
      <c r="L14" t="str">
        <v>TÊN</v>
      </c>
      <c r="M14" t="str">
        <v>MÃ</v>
      </c>
      <c r="N14" t="str">
        <v>GÓC CẮT</v>
      </c>
      <c r="O14" t="str">
        <v>TL(kg/m)</v>
      </c>
    </row>
    <row r="15">
      <c r="F15" t="str">
        <v>(10)-Cao đố chia vách (tính cánh)</v>
      </c>
      <c r="G15">
        <v>37</v>
      </c>
      <c r="K15" t="str">
        <f>M15</f>
        <v>EX1345</v>
      </c>
      <c r="L15" t="str">
        <v>HD- Khung cửa mở quay</v>
      </c>
      <c r="M15" t="str">
        <v>EX1345</v>
      </c>
      <c r="N15" t="str">
        <v>45-45</v>
      </c>
    </row>
    <row r="16">
      <c r="F16" t="str">
        <v>(11)-Cao đố chia vách (tính đố)</v>
      </c>
      <c r="G16">
        <v>15</v>
      </c>
      <c r="K16" t="str">
        <f>M16</f>
        <v>EX1347</v>
      </c>
      <c r="L16" t="str">
        <v>HD- Đố chia khung</v>
      </c>
      <c r="M16" t="str">
        <v>EX1347</v>
      </c>
      <c r="N16" t="str">
        <v>90-90</v>
      </c>
    </row>
    <row r="17">
      <c r="F17" t="str">
        <v>(12)-Cao cánh cửa đi (tính kính, nẹp)</v>
      </c>
      <c r="G17">
        <v>81</v>
      </c>
      <c r="K17" t="str">
        <f>M17</f>
        <v>EX1344</v>
      </c>
      <c r="L17" t="str">
        <v>HD- Cánh cửa sổ quay</v>
      </c>
      <c r="M17" t="str">
        <v>EX1344</v>
      </c>
      <c r="N17" t="str">
        <v>45-45</v>
      </c>
    </row>
    <row r="18">
      <c r="F18" t="str">
        <v>(13)-Cao cánh cửa đi (tính đố cánh)</v>
      </c>
      <c r="G18">
        <v>76</v>
      </c>
      <c r="K18" t="str">
        <f>M18</f>
        <v>EX1346</v>
      </c>
      <c r="L18" t="str">
        <v>HD- Đố động</v>
      </c>
      <c r="M18" t="str">
        <v>EX1346</v>
      </c>
      <c r="N18" t="str">
        <v>90-90</v>
      </c>
    </row>
    <row r="19">
      <c r="F19" t="str">
        <v>(14)-Cao đố cánh cửa đi</v>
      </c>
      <c r="G19">
        <v>62.5</v>
      </c>
      <c r="K19" t="str">
        <f>M19</f>
        <v>EX1352</v>
      </c>
      <c r="L19" t="str">
        <v>HD- Nẹp vách</v>
      </c>
      <c r="M19" t="str">
        <v>EX1352</v>
      </c>
      <c r="N19" t="str">
        <v>90-90</v>
      </c>
    </row>
    <row r="20">
      <c r="F20" t="str">
        <v>(15)-Cao cánh cửa sổ (tính kính)</v>
      </c>
      <c r="G20">
        <v>57</v>
      </c>
      <c r="K20" t="str">
        <f>M20</f>
        <v>EX1351</v>
      </c>
      <c r="L20" t="str">
        <v>HD- Nẹp cánh</v>
      </c>
      <c r="M20" t="str">
        <v>EX1351</v>
      </c>
      <c r="N20" t="str">
        <v>45-45</v>
      </c>
    </row>
    <row r="21">
      <c r="F21" t="str">
        <v>(16)-Cao nẹp (tính nẹp vách)</v>
      </c>
      <c r="G21">
        <v>0</v>
      </c>
      <c r="K21" t="str">
        <f>M21</f>
        <v>EX1349</v>
      </c>
      <c r="L21" t="str">
        <v>HD- Nối khung</v>
      </c>
      <c r="M21" t="str">
        <v>EX1349</v>
      </c>
      <c r="N21" t="str">
        <v>90-90</v>
      </c>
    </row>
    <row r="22">
      <c r="F22" t="str">
        <v>(17)-Cao khung cửa trượt</v>
      </c>
      <c r="G22">
        <v>42.3</v>
      </c>
    </row>
    <row r="23">
      <c r="F23" t="str">
        <v>(18)-Cao cánh cửa trượt (tính cánh)</v>
      </c>
      <c r="G23">
        <v>70</v>
      </c>
    </row>
    <row r="24">
      <c r="F24" t="str">
        <v>(19)-Cao cánh cửa trượt (tính kính)</v>
      </c>
      <c r="G24">
        <v>53</v>
      </c>
    </row>
    <row r="25">
      <c r="F25" t="str">
        <v>(20)-Chiều dày hèm đối đầu cửa trượt</v>
      </c>
      <c r="G25">
        <v>2</v>
      </c>
    </row>
    <row r="26">
      <c r="F26" t="str">
        <v>(21)-Chiều dày thanh nối khung</v>
      </c>
      <c r="G26">
        <v>2</v>
      </c>
    </row>
    <row r="27">
      <c r="F27" t="str">
        <v>(22)-Cao gân cánh đi 55 (tính kính)</v>
      </c>
      <c r="G27">
        <v>0</v>
      </c>
    </row>
    <row r="28">
      <c r="F28" t="str">
        <v>HD- Khung cửa mở quay (kg/m)</v>
      </c>
      <c r="G28">
        <v>1.025</v>
      </c>
    </row>
    <row r="29">
      <c r="F29" t="str">
        <v>HD- Đố chia khung (kg/m)</v>
      </c>
      <c r="G29">
        <v>0.912</v>
      </c>
    </row>
    <row r="30">
      <c r="F30" t="str">
        <v>HD- Cánh cửa sổ quay (kg/m)</v>
      </c>
      <c r="G30">
        <v>1.005</v>
      </c>
    </row>
    <row r="31">
      <c r="F31" t="str">
        <v>HD- Cánh đi mở quay (kg/m)</v>
      </c>
      <c r="G31">
        <v>1.252</v>
      </c>
    </row>
    <row r="32">
      <c r="F32" t="str">
        <v>HD- Đố cánh cửa đi (kg/m)</v>
      </c>
      <c r="G32">
        <v>0.945</v>
      </c>
    </row>
    <row r="33">
      <c r="F33" t="str">
        <v>HD- Đố động (kg/m)</v>
      </c>
      <c r="G33">
        <v>0.578</v>
      </c>
    </row>
    <row r="34">
      <c r="F34" t="str">
        <v>HD- Ốp đáy (kg/m)</v>
      </c>
      <c r="G34">
        <v>0.272</v>
      </c>
    </row>
    <row r="35">
      <c r="F35" t="str">
        <v>HD- Nẹp vách (kg/m)</v>
      </c>
      <c r="G35">
        <v>0.236</v>
      </c>
    </row>
    <row r="36">
      <c r="F36" t="str">
        <v>HD- Nối khung (kg/m)</v>
      </c>
      <c r="G36">
        <v>0.189</v>
      </c>
    </row>
    <row r="37">
      <c r="F37" t="str">
        <v>HD- Khung cửa trượt (kg/m)</v>
      </c>
      <c r="G37">
        <v>0.89</v>
      </c>
    </row>
    <row r="38">
      <c r="F38" t="str">
        <v>HD- Cánh cửa trượt (kg/m)</v>
      </c>
      <c r="G38">
        <v>0.81</v>
      </c>
    </row>
    <row r="39">
      <c r="F39" t="str">
        <v>HD- Móc cánh cửa trượt (kg/m)</v>
      </c>
      <c r="G39">
        <v>0.43</v>
      </c>
    </row>
    <row r="40">
      <c r="F40" t="str">
        <v>HD- Hèm đối đầu (kg/m)</v>
      </c>
      <c r="G40">
        <v>0.332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f>$L$17</f>
        <v>HD- Cánh cửa sổ quay</v>
      </c>
      <c r="C46" t="str">
        <v>Ngang</v>
      </c>
      <c r="D46" t="str">
        <f>$M$17</f>
        <v>EX1344</v>
      </c>
      <c r="E46" t="str">
        <v>45-45</v>
      </c>
      <c r="F46">
        <f>$C$10*J46</f>
        <v>2</v>
      </c>
      <c r="G46">
        <f>C7-G15+G7*2</f>
        <v>657</v>
      </c>
      <c r="H46">
        <f>$G$30</f>
        <v>1.005</v>
      </c>
      <c r="I46">
        <f>F46*G46*H46/1000</f>
        <v>1.32057</v>
      </c>
      <c r="J46" t="str">
        <v xml:space="preserve"> 2</v>
      </c>
    </row>
    <row r="47">
      <c r="B47" t="str">
        <f>$L$17</f>
        <v>HD- Cánh cửa sổ quay</v>
      </c>
      <c r="C47" t="str">
        <v>Đứng</v>
      </c>
      <c r="D47" t="str">
        <f>$M$17</f>
        <v>EX1344</v>
      </c>
      <c r="E47" t="str">
        <v>45-45</v>
      </c>
      <c r="F47">
        <f>$C$10*J47</f>
        <v>2</v>
      </c>
      <c r="G47">
        <f>C8-G15+G7*2</f>
        <v>357</v>
      </c>
      <c r="H47">
        <f>$G$30</f>
        <v>1.005</v>
      </c>
      <c r="I47">
        <f>F47*G47*H47/1000</f>
        <v>0.7175699999999999</v>
      </c>
      <c r="J47" t="str">
        <v xml:space="preserve"> 2</v>
      </c>
    </row>
    <row r="52">
      <c r="B52" t="str">
        <v>KÍCH THƯỚC CẮT KÍNH</v>
      </c>
    </row>
    <row r="53">
      <c r="B53" t="str">
        <v>Tên kính</v>
      </c>
      <c r="C53" t="str">
        <v>Rộng</v>
      </c>
      <c r="D53" t="str">
        <v>Cao</v>
      </c>
      <c r="E53" t="str">
        <v>Số lượng</v>
      </c>
      <c r="F53" t="str">
        <v>Diện tích kính (m2)</v>
      </c>
      <c r="G53" t="str">
        <v>Vị trí</v>
      </c>
    </row>
    <row r="54">
      <c r="B54">
        <f>C9</f>
        <v>6</v>
      </c>
      <c r="C54">
        <f>G46-G20*2-G12</f>
        <v>536</v>
      </c>
      <c r="D54">
        <f>G47-G20*2-G12</f>
        <v>236</v>
      </c>
      <c r="E54">
        <f>1*C10</f>
        <v>1</v>
      </c>
      <c r="F54">
        <f>E54*D54*C54/10^6</f>
        <v>0.126496</v>
      </c>
      <c r="G54" t="str">
        <v>cánh</v>
      </c>
    </row>
    <row r="57">
      <c r="B57" t="str">
        <v>PHỤ KIỆN</v>
      </c>
      <c r="C57" t="str">
        <v>sổ 1 cánh</v>
      </c>
    </row>
    <row r="58">
      <c r="B58" t="str">
        <v>Tên</v>
      </c>
      <c r="C58" t="str">
        <v>Mã</v>
      </c>
      <c r="D58" t="str">
        <v>ĐVT</v>
      </c>
      <c r="E58" t="str">
        <v>Số lượng</v>
      </c>
      <c r="H58" t="str">
        <v>SL/Bộ</v>
      </c>
    </row>
    <row r="59">
      <c r="B59" t="str">
        <v>Bản lề cửa sổ HD</v>
      </c>
      <c r="C59" t="str">
        <v>HD-SBL</v>
      </c>
      <c r="D59" t="str">
        <v>Chiếc</v>
      </c>
      <c r="E59">
        <f>H59*$H$5</f>
        <v>2</v>
      </c>
      <c r="H59">
        <v>2</v>
      </c>
    </row>
    <row r="60">
      <c r="B60" t="str">
        <v>Tay nắm cửa sổ mở quay HD</v>
      </c>
      <c r="C60" t="str">
        <v>HD-STN</v>
      </c>
      <c r="D60" t="str">
        <v>Chiếc</v>
      </c>
      <c r="E60">
        <f>H60*$H$5</f>
        <v>1</v>
      </c>
      <c r="H60">
        <v>1</v>
      </c>
    </row>
    <row r="61">
      <c r="B61" t="str">
        <v>Thanh chuyển động HD</v>
      </c>
      <c r="C61" t="str">
        <v>HD-STCD</v>
      </c>
      <c r="D61" t="str">
        <v>Thanh</v>
      </c>
      <c r="E61">
        <f>H61*$H$5</f>
        <v>1</v>
      </c>
      <c r="H61">
        <v>1</v>
      </c>
    </row>
    <row r="62">
      <c r="B62" t="str">
        <v>Vấu chốt quay hất cửa sổ HD</v>
      </c>
      <c r="C62" t="str">
        <v>HD-SV</v>
      </c>
      <c r="D62" t="str">
        <v>Chiếc</v>
      </c>
      <c r="E62">
        <f>H62*$H$5</f>
        <v>2</v>
      </c>
      <c r="H62">
        <v>2</v>
      </c>
    </row>
    <row r="63">
      <c r="B63" t="str">
        <v>Ke nhảy cánh sổ mở quay HD</v>
      </c>
      <c r="C63" t="str">
        <v>HD-SKNC</v>
      </c>
      <c r="D63" t="str">
        <v>Chiếc</v>
      </c>
      <c r="E63">
        <f>H63*$H$5</f>
        <v>4</v>
      </c>
      <c r="H63">
        <v>4</v>
      </c>
    </row>
    <row r="64">
      <c r="B64" t="str">
        <v>Ke tăng cứng HD</v>
      </c>
      <c r="C64" t="str">
        <v>HD-KTC</v>
      </c>
      <c r="D64" t="str">
        <v>Chiếc</v>
      </c>
      <c r="E64">
        <f>H64*$H$5</f>
        <v>4</v>
      </c>
      <c r="H64">
        <v>4</v>
      </c>
    </row>
    <row r="67">
      <c r="B67" t="str">
        <v>BẢNG TÍNH GIÁ THÀNH</v>
      </c>
    </row>
    <row r="68">
      <c r="B68" t="str">
        <v>Tên gọi</v>
      </c>
      <c r="C68" t="str">
        <v>Đơn vị tính</v>
      </c>
      <c r="D68" t="str">
        <v>Số lượng</v>
      </c>
      <c r="E68" t="str">
        <v>Đơn giá</v>
      </c>
      <c r="F68" t="str">
        <v>Thành tiền</v>
      </c>
    </row>
    <row r="69">
      <c r="B69" t="str">
        <v>Nhôm (VNĐ)</v>
      </c>
      <c r="C69" t="str">
        <v>Kg</v>
      </c>
      <c r="D69">
        <f>SUM(I46:I47)</f>
        <v>2.03814</v>
      </c>
      <c r="E69">
        <f>C11</f>
        <v>90000</v>
      </c>
      <c r="F69">
        <f>E69*D69</f>
        <v>183432.59999999998</v>
      </c>
    </row>
    <row r="70">
      <c r="B70" t="str">
        <v>Kính (VNĐ)</v>
      </c>
      <c r="C70" t="str">
        <v>m2</v>
      </c>
      <c r="D70">
        <f>SUM(F54:F54)</f>
        <v>0.126496</v>
      </c>
      <c r="E70">
        <f>C12</f>
        <v>0</v>
      </c>
      <c r="F70">
        <f>E70*D70</f>
        <v>0</v>
      </c>
    </row>
    <row r="71">
      <c r="B71" t="str">
        <v>Phụ Kiện (tự nhập) (VNĐ)</v>
      </c>
    </row>
    <row r="72">
      <c r="B72" t="str">
        <v>Vật Tư Phụ (tự nhập) (VNĐ)</v>
      </c>
    </row>
    <row r="73">
      <c r="B73" t="str">
        <v>Công Sản Xuất + Lắp Đặt (VNĐ)</v>
      </c>
    </row>
    <row r="74">
      <c r="B74" t="str">
        <v>Tổng (chưa tính hao hụt nhôm)</v>
      </c>
      <c r="F74">
        <f>SUM(F69:F73)</f>
        <v>183432.59999999998</v>
      </c>
    </row>
  </sheetData>
  <mergeCells count="3">
    <mergeCell ref="B2:G2"/>
    <mergeCell ref="L1:O1"/>
    <mergeCell ref="L13:O13"/>
  </mergeCells>
  <pageMargins left="0.7" right="0.7" top="0.75" bottom="0.75" header="0.3" footer="0.3"/>
  <ignoredErrors>
    <ignoredError numberStoredAsText="1" sqref="A1:O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B5</v>
      </c>
      <c r="B2" t="str">
        <v>B44</v>
      </c>
      <c r="C2" t="str">
        <v>B52</v>
      </c>
      <c r="D2" t="str">
        <v>B57</v>
      </c>
      <c r="E2" t="str">
        <v>B67</v>
      </c>
    </row>
    <row r="3">
      <c r="A3" t="str">
        <v>C12</v>
      </c>
      <c r="B3" t="str">
        <v>G47</v>
      </c>
      <c r="C3" t="str">
        <v>G54</v>
      </c>
      <c r="D3" t="str">
        <v>E64</v>
      </c>
      <c r="E3" t="str">
        <v>F74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F74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CSMQ1c+fix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2019-07-23T10:22:43Z</dcterms:modified>
  <cp:lastModifiedBy>CUONG</cp:lastModifiedBy>
  <cp:lastPrinted>2014-12-05T03:23:20Z</cp:lastPrinted>
  <dc:creator>Windows User</dc:creator>
</cp:coreProperties>
</file>