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TSS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&quot;H2=&quot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 rightToLeft="0"/>
  </sheetViews>
  <sheetData>
    <row r="1" ht="12" customHeight="1"/>
    <row r="2">
      <c r="B2" t="str">
        <v xml:space="preserve">BẢN VẼ SẢN XUẤT 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VK5</v>
      </c>
      <c r="F4" t="str">
        <v>Giá nhôm (VNĐ/Kg)</v>
      </c>
      <c r="G4">
        <v>90000</v>
      </c>
      <c r="H4" t="str">
        <v>VÁCH + CỬA SỔ QUAY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C12</f>
        <v>1</v>
      </c>
      <c r="I5">
        <f>C15</f>
        <v>7.56</v>
      </c>
    </row>
    <row r="6">
      <c r="B6" t="str">
        <v>Cao Cửa (H) (mm)</v>
      </c>
      <c r="C6">
        <v>2700</v>
      </c>
      <c r="F6" t="str">
        <v>(1)-Cánh ĐI ngậm khung</v>
      </c>
      <c r="G6">
        <v>6</v>
      </c>
    </row>
    <row r="7">
      <c r="B7" t="str">
        <v>H1</v>
      </c>
      <c r="C7">
        <v>1000</v>
      </c>
      <c r="F7" t="str">
        <v>(2)-Cánh SỔ ngậm khung</v>
      </c>
      <c r="G7">
        <v>6</v>
      </c>
    </row>
    <row r="8">
      <c r="B8" t="str">
        <v>H2</v>
      </c>
      <c r="C8">
        <v>500</v>
      </c>
      <c r="F8" t="str">
        <v>(3)-Hở giữa cửa ĐI 2 (4) cánh</v>
      </c>
      <c r="G8">
        <v>7</v>
      </c>
    </row>
    <row r="9">
      <c r="B9" t="str">
        <v>B1</v>
      </c>
      <c r="C9">
        <v>1000</v>
      </c>
      <c r="F9" t="str">
        <v>(4)-Hở cánh cửa ĐI 4 cánh</v>
      </c>
      <c r="G9">
        <v>6</v>
      </c>
    </row>
    <row r="10">
      <c r="B10" t="str">
        <v>B2</v>
      </c>
      <c r="C10">
        <v>500</v>
      </c>
      <c r="F10" t="str">
        <v>(5)-Hở giữa cửa SỔ 2 cánh</v>
      </c>
      <c r="G10">
        <v>6</v>
      </c>
    </row>
    <row r="11">
      <c r="B11" t="str">
        <v>Loại kính</v>
      </c>
      <c r="C11">
        <v>6</v>
      </c>
      <c r="F11" t="str">
        <v>(6)-Cánh TRƯỢT ngậm khung</v>
      </c>
      <c r="G11">
        <v>9.5</v>
      </c>
    </row>
    <row r="12" ht="15" customHeight="1">
      <c r="B12" t="str">
        <v>Số bộ</v>
      </c>
      <c r="C12">
        <v>1</v>
      </c>
      <c r="F12" t="str">
        <v>(7)-Khe hở kính</v>
      </c>
      <c r="G12">
        <v>9</v>
      </c>
    </row>
    <row r="13" ht="21" customHeight="1">
      <c r="B13" t="str">
        <v>Giá nhôm (VNĐ/Kg)</v>
      </c>
      <c r="C13">
        <v>90000</v>
      </c>
      <c r="F13" t="str">
        <v>(8)-Cao khung ĐI quay (tính cánh)</v>
      </c>
      <c r="G13">
        <v>44.5</v>
      </c>
    </row>
    <row r="14" ht="15" customHeight="1">
      <c r="B14" t="str">
        <v>Giá kính (VNĐ/m2)</v>
      </c>
      <c r="C14">
        <v>245000</v>
      </c>
      <c r="F14" t="str">
        <v>(9)-Cao khung ĐI quay (tính đố)</v>
      </c>
      <c r="G14">
        <v>39.5</v>
      </c>
    </row>
    <row r="15">
      <c r="B15" t="str">
        <v>Diện tích/bộ</v>
      </c>
      <c r="C15">
        <f>C5*C6/10^6</f>
        <v>7.56</v>
      </c>
      <c r="F15" t="str">
        <v>(8.1)-Cao khung SỔ quay (tính cánh)</v>
      </c>
      <c r="G15">
        <v>32.5</v>
      </c>
    </row>
    <row r="16" ht="14.1" customHeight="1">
      <c r="B16" t="str">
        <v>Tổng diện tích</v>
      </c>
      <c r="C16">
        <f>C15*C12</f>
        <v>7.56</v>
      </c>
      <c r="F16" t="str">
        <v>(9.1)-Cao khung SỔ quay (tính đố)</v>
      </c>
      <c r="G16">
        <v>27.5</v>
      </c>
    </row>
    <row r="17" ht="14.1" customHeight="1">
      <c r="F17" t="str">
        <v>(10)-Cao đố chia vách (tính cánh)</v>
      </c>
      <c r="G17">
        <v>35</v>
      </c>
    </row>
    <row r="18" ht="14.1" customHeight="1">
      <c r="F18" t="str">
        <v>(11)-Cao đố chia vách (tính đố)</v>
      </c>
      <c r="G18">
        <v>25</v>
      </c>
    </row>
    <row r="19" ht="14.1" customHeight="1">
      <c r="F19" t="str">
        <v>(12)-Cao cánh ĐI quay (tính kính, nẹp)</v>
      </c>
      <c r="G19">
        <v>80</v>
      </c>
    </row>
    <row r="20" ht="14.1" customHeight="1">
      <c r="F20" t="str">
        <v>(13)-Cao cánh ĐI quay (tính đố cánh)</v>
      </c>
      <c r="G20">
        <v>75</v>
      </c>
    </row>
    <row r="21" ht="14.1" customHeight="1">
      <c r="F21" t="str">
        <v>(14)-Cao đố cánh ĐI quay</v>
      </c>
      <c r="G21">
        <v>50</v>
      </c>
    </row>
    <row r="22" ht="14.1" customHeight="1">
      <c r="F22" t="str">
        <v>(15)-Cao cánh SỔ quay (tính kính)</v>
      </c>
      <c r="G22">
        <v>60</v>
      </c>
    </row>
    <row r="23" ht="14.1" customHeight="1">
      <c r="F23" t="str">
        <v>(16)-Cao nẹp (tính nẹp vách, cánh)</v>
      </c>
      <c r="G23">
        <v>20</v>
      </c>
    </row>
    <row r="24" ht="14.1" customHeight="1">
      <c r="F24" t="str">
        <v>(17)-Cao khung TRƯỢT</v>
      </c>
      <c r="G24">
        <v>0</v>
      </c>
    </row>
    <row r="25" ht="14.1" customHeight="1">
      <c r="F25" t="str">
        <v>(18)-Cao cánh TRƯỢT (tính cánh)</v>
      </c>
      <c r="G25">
        <v>0</v>
      </c>
    </row>
    <row r="26" ht="14.1" customHeight="1">
      <c r="F26" t="str">
        <v>(19)-Cao cánh TRƯỢT (tính kính)</v>
      </c>
      <c r="G26">
        <v>0</v>
      </c>
    </row>
    <row r="27" ht="14.1" customHeight="1">
      <c r="F27" t="str">
        <v>(20)-Dày hèm đối đầu TRƯỢT 4 cánh</v>
      </c>
      <c r="G27">
        <v>0</v>
      </c>
    </row>
    <row r="28" ht="14.1" customHeight="1">
      <c r="F28" t="str">
        <v>(21)-Dày thanh nối khung</v>
      </c>
      <c r="G28">
        <v>0</v>
      </c>
    </row>
    <row r="29" ht="14.1" customHeight="1">
      <c r="F29" t="str">
        <v>(22)-Tính đố động = Cánh trừ</v>
      </c>
      <c r="G29">
        <v>33.5</v>
      </c>
    </row>
    <row r="30" ht="14.1" customHeight="1">
      <c r="F30" t="str">
        <v>(23)-Tính ốp chân = Cánh trừ</v>
      </c>
      <c r="G30">
        <v>33.5</v>
      </c>
    </row>
    <row r="31" ht="14.1" customHeight="1">
      <c r="F31" t="str">
        <v>Ngưỡng cửa đi mở quay (kg/m)</v>
      </c>
      <c r="G31">
        <v>0.832</v>
      </c>
    </row>
    <row r="32" ht="14.1" customHeight="1">
      <c r="F32" t="str">
        <v>Khung cửa ĐI quay (kg/m)</v>
      </c>
      <c r="G32">
        <v>1.672</v>
      </c>
    </row>
    <row r="33" ht="14.1" customHeight="1">
      <c r="F33" t="str">
        <v>Khung cửa SỔ quay (kg/m)</v>
      </c>
      <c r="G33">
        <v>1.104</v>
      </c>
    </row>
    <row r="34" ht="14.1" customHeight="1">
      <c r="F34" t="str">
        <v>Đố chia khung (kg/m)</v>
      </c>
      <c r="G34">
        <v>1.374</v>
      </c>
    </row>
    <row r="35" ht="14.1" customHeight="1">
      <c r="F35" t="str">
        <v>Cánh cửa SỔ quay (kg/m)</v>
      </c>
      <c r="G35">
        <v>1.604</v>
      </c>
    </row>
    <row r="36" ht="14.1" customHeight="1">
      <c r="F36" t="str">
        <v>Cánh cửa ĐI (kg/m)</v>
      </c>
      <c r="G36">
        <v>2.582</v>
      </c>
    </row>
    <row r="37" ht="14.1" customHeight="1">
      <c r="F37" t="str">
        <v>Đố cánh cửa ĐI (kg/m)</v>
      </c>
      <c r="G37">
        <v>2.019</v>
      </c>
    </row>
    <row r="38" ht="14.1" customHeight="1">
      <c r="F38" t="str">
        <v>Đố động (kg/m)</v>
      </c>
      <c r="G38">
        <v>1.252</v>
      </c>
    </row>
    <row r="39" ht="14.1" customHeight="1">
      <c r="F39" t="str">
        <v>Ốp chân cánh cửa đi(kg/m)</v>
      </c>
      <c r="G39">
        <v>0.047</v>
      </c>
    </row>
    <row r="40" ht="14.1" customHeight="1">
      <c r="F40" t="str">
        <v>Thanh đa điểm (kg/m)</v>
      </c>
      <c r="G40">
        <v>0.142</v>
      </c>
    </row>
    <row r="41" ht="14.1" customHeight="1">
      <c r="F41" t="str">
        <v>Nẹp vuông 6-12 (kg/m)</v>
      </c>
      <c r="G41">
        <v>0.334</v>
      </c>
    </row>
    <row r="42" ht="14.1" customHeight="1">
      <c r="F42" t="str">
        <v>Nối khung (kg/m)</v>
      </c>
      <c r="G42">
        <v>0.423</v>
      </c>
    </row>
    <row r="43" ht="14.1" customHeight="1"/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
(mm)</v>
      </c>
      <c r="H45" t="str" xml:space="preserve">
        <v xml:space="preserve">Trọng lượng
(kg/m)</v>
      </c>
      <c r="I45" t="str">
        <v>Tổng trọng lượng (Kg)</v>
      </c>
      <c r="J45" t="str">
        <v>Số lượng</v>
      </c>
    </row>
    <row r="46">
      <c r="B46" t="str">
        <v>Khung bao cửa sổ mở quay</v>
      </c>
      <c r="C46" t="str">
        <v>Ngang</v>
      </c>
      <c r="D46" t="str">
        <v>TW55-01</v>
      </c>
      <c r="E46" t="str">
        <v>45-45</v>
      </c>
      <c r="F46">
        <f>$C$12*J46</f>
        <v>2</v>
      </c>
      <c r="G46">
        <f>C5</f>
        <v>2800</v>
      </c>
      <c r="H46">
        <v>0.80784</v>
      </c>
      <c r="I46">
        <f>F46*G46*H46/1000</f>
        <v>4.523904000000001</v>
      </c>
      <c r="J46">
        <v>2</v>
      </c>
    </row>
    <row r="47">
      <c r="B47" t="str">
        <v>Khung bao cửa sổ mở quay</v>
      </c>
      <c r="C47" t="str">
        <v>Đứng</v>
      </c>
      <c r="D47" t="str">
        <v>TW55-01</v>
      </c>
      <c r="E47" t="str">
        <v>45-45</v>
      </c>
      <c r="F47">
        <f>$C$12*J47</f>
        <v>2</v>
      </c>
      <c r="G47">
        <f>C9</f>
        <v>1000</v>
      </c>
      <c r="H47">
        <v>0.80784</v>
      </c>
      <c r="I47">
        <f>F47*G47*H47/1000</f>
        <v>1.61568</v>
      </c>
      <c r="J47">
        <v>2</v>
      </c>
    </row>
    <row r="48">
      <c r="B48" t="str">
        <v>Đố T chia khung cửa mở quay</v>
      </c>
      <c r="C48" t="str">
        <v>Ngang</v>
      </c>
      <c r="D48" t="str">
        <v>TW55-06</v>
      </c>
      <c r="E48" t="str">
        <v>90-90</v>
      </c>
      <c r="F48">
        <f>$C$12*J48</f>
        <v>2</v>
      </c>
      <c r="G48">
        <f>C9-24.5-12</f>
        <v>963.5</v>
      </c>
      <c r="H48">
        <v>1.09038</v>
      </c>
      <c r="I48">
        <f>F48*G48*H48/1000</f>
        <v>2.1011622599999997</v>
      </c>
      <c r="J48">
        <v>2</v>
      </c>
    </row>
    <row r="49">
      <c r="B49" t="str">
        <v>Đố T chia khung cửa mở quay</v>
      </c>
      <c r="C49" t="str">
        <v>Ngang</v>
      </c>
      <c r="D49" t="str">
        <v>TW55-06</v>
      </c>
      <c r="E49" t="str">
        <v>90-90</v>
      </c>
      <c r="F49">
        <f>$C$12*J49</f>
        <v>2</v>
      </c>
      <c r="G49">
        <f>C10-24.5-12</f>
        <v>463.5</v>
      </c>
      <c r="H49">
        <v>1.09038</v>
      </c>
      <c r="I49">
        <f>F49*G49*H49/1000</f>
        <v>1.01078226</v>
      </c>
      <c r="J49">
        <v>2</v>
      </c>
    </row>
    <row r="50">
      <c r="B50" t="str">
        <v>Đố T chia khung cửa mở quay</v>
      </c>
      <c r="C50" t="str">
        <v>Ngang</v>
      </c>
      <c r="D50" t="str">
        <v>TW55-06</v>
      </c>
      <c r="E50" t="str">
        <v>90-90</v>
      </c>
      <c r="F50">
        <f>$C$12*J50</f>
        <v>2</v>
      </c>
      <c r="G50">
        <f>C5-C9-C10-12*2</f>
        <v>1276</v>
      </c>
      <c r="H50">
        <v>1.09038</v>
      </c>
      <c r="I50">
        <f>F50*G50*H50/1000</f>
        <v>2.78264976</v>
      </c>
      <c r="J50">
        <v>2</v>
      </c>
    </row>
    <row r="51">
      <c r="B51" t="str">
        <v>Đố T chia khung cửa mở quay</v>
      </c>
      <c r="C51" t="str">
        <v>Đứng</v>
      </c>
      <c r="D51" t="str">
        <v>TW55-06</v>
      </c>
      <c r="E51" t="str">
        <v>90-90</v>
      </c>
      <c r="F51">
        <f>$C$12*J51</f>
        <v>2</v>
      </c>
      <c r="G51">
        <f>C6-24.5*2</f>
        <v>2651</v>
      </c>
      <c r="H51">
        <v>1.09038</v>
      </c>
      <c r="I51">
        <f>F51*G51*H51/1000</f>
        <v>5.781194759999999</v>
      </c>
      <c r="J51">
        <v>2</v>
      </c>
    </row>
    <row r="52">
      <c r="B52" t="str">
        <v>Nẹp vuông kính đơn</v>
      </c>
      <c r="C52" t="str">
        <v>Đứng</v>
      </c>
      <c r="D52" t="str">
        <v>TW55-08</v>
      </c>
      <c r="E52" t="str">
        <v>90-90</v>
      </c>
      <c r="F52">
        <f>$C$12*J52</f>
        <v>6</v>
      </c>
      <c r="G52">
        <f>C6-C8-C7-17*2</f>
        <v>1166</v>
      </c>
      <c r="H52">
        <v>0.32538</v>
      </c>
      <c r="I52">
        <f>F52*G52*H52/1000</f>
        <v>2.27635848</v>
      </c>
      <c r="J52">
        <v>6</v>
      </c>
    </row>
    <row r="53">
      <c r="B53" t="str">
        <v>Nẹp vuông kính đơn</v>
      </c>
      <c r="C53" t="str">
        <v>Đứng</v>
      </c>
      <c r="D53" t="str">
        <v>TW55-08</v>
      </c>
      <c r="E53" t="str">
        <v>90-90</v>
      </c>
      <c r="F53">
        <f>$C$12*J53</f>
        <v>6</v>
      </c>
      <c r="G53">
        <f>C7-29.5-17</f>
        <v>953.5</v>
      </c>
      <c r="H53">
        <v>0.32538</v>
      </c>
      <c r="I53">
        <f>F53*G53*H53/1000</f>
        <v>1.8614989800000001</v>
      </c>
      <c r="J53">
        <v>6</v>
      </c>
    </row>
    <row r="54">
      <c r="B54" t="str">
        <v>Nẹp vuông kính đơn</v>
      </c>
      <c r="C54" t="str">
        <v>Đứng</v>
      </c>
      <c r="D54" t="str">
        <v>TW55-08</v>
      </c>
      <c r="E54" t="str">
        <v>90-90</v>
      </c>
      <c r="F54">
        <f>$C$12*J54</f>
        <v>6</v>
      </c>
      <c r="G54">
        <f>C8-29.5-17</f>
        <v>453.5</v>
      </c>
      <c r="H54">
        <v>0.32538</v>
      </c>
      <c r="I54">
        <f>F54*G54*H54/1000</f>
        <v>0.88535898</v>
      </c>
      <c r="J54">
        <v>6</v>
      </c>
    </row>
    <row r="55">
      <c r="B55" t="str">
        <v>Nẹp vuông kính đơn</v>
      </c>
      <c r="C55" t="str">
        <v>Ngang</v>
      </c>
      <c r="D55" t="str">
        <v>TW55-08</v>
      </c>
      <c r="E55" t="str">
        <v>90-90</v>
      </c>
      <c r="F55">
        <f>$C$12*J55</f>
        <v>6</v>
      </c>
      <c r="G55">
        <f>C9-50-37.5</f>
        <v>912.5</v>
      </c>
      <c r="H55">
        <v>0.32538</v>
      </c>
      <c r="I55">
        <f>F55*G55*H55/1000</f>
        <v>1.7814555</v>
      </c>
      <c r="J55">
        <v>6</v>
      </c>
    </row>
    <row r="56">
      <c r="B56" t="str">
        <v>Nẹp vuông kính đơn</v>
      </c>
      <c r="C56" t="str">
        <v>Ngang</v>
      </c>
      <c r="D56" t="str">
        <v>TW55-08</v>
      </c>
      <c r="E56" t="str">
        <v>90-90</v>
      </c>
      <c r="F56">
        <f>$C$12*J56</f>
        <v>6</v>
      </c>
      <c r="G56">
        <f>C9-50-37.5</f>
        <v>912.5</v>
      </c>
      <c r="H56">
        <v>0.32538</v>
      </c>
      <c r="I56">
        <f>F56*G56*H56/1000</f>
        <v>1.7814555</v>
      </c>
      <c r="J56">
        <v>6</v>
      </c>
    </row>
    <row r="57">
      <c r="B57" t="str">
        <v>Nẹp vuông kính đơn</v>
      </c>
      <c r="C57" t="str">
        <v>Ngang</v>
      </c>
      <c r="D57" t="str">
        <v>TW55-08</v>
      </c>
      <c r="E57" t="str">
        <v>90-90</v>
      </c>
      <c r="F57">
        <f>$C$12*J57</f>
        <v>6</v>
      </c>
      <c r="G57">
        <f>C5-C9-C10-37.5*2</f>
        <v>1225</v>
      </c>
      <c r="H57">
        <v>0.32538</v>
      </c>
      <c r="I57">
        <f>F57*G57*H57/1000</f>
        <v>2.391543</v>
      </c>
      <c r="J57">
        <v>6</v>
      </c>
    </row>
    <row r="58" ht="15.75" customHeight="1"/>
    <row r="60" ht="15.75" customHeight="1">
      <c r="B60" t="str">
        <v>KÍCH THƯỚC CẮT KÍNH</v>
      </c>
    </row>
    <row r="61" ht="15.75" customHeight="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$C$11</f>
        <v>6</v>
      </c>
      <c r="C62">
        <f>C9-34.5-22</f>
        <v>943.5</v>
      </c>
      <c r="D62">
        <f>C8-34.5-22</f>
        <v>443.5</v>
      </c>
      <c r="E62">
        <f>J62*$C$12</f>
        <v>1</v>
      </c>
      <c r="F62">
        <f>C62*D62*E62/10^6</f>
        <v>0.41844225</v>
      </c>
      <c r="G62" t="str">
        <v>Khung</v>
      </c>
      <c r="J62">
        <v>1</v>
      </c>
    </row>
    <row r="63">
      <c r="B63">
        <f>$C$11</f>
        <v>6</v>
      </c>
      <c r="C63">
        <f>C10-34.5-22</f>
        <v>443.5</v>
      </c>
      <c r="D63">
        <f>C8-22-34.5</f>
        <v>443.5</v>
      </c>
      <c r="E63">
        <f>J63*$C$12</f>
        <v>1</v>
      </c>
      <c r="F63">
        <f>C63*D63*E63/10^6</f>
        <v>0.19669225</v>
      </c>
      <c r="G63" t="str">
        <v>Khung</v>
      </c>
      <c r="J63">
        <v>1</v>
      </c>
    </row>
    <row r="64">
      <c r="B64">
        <f>$C$11</f>
        <v>6</v>
      </c>
      <c r="C64">
        <f>C5-C9-C10-22*2</f>
        <v>1256</v>
      </c>
      <c r="D64">
        <f>C8-22-34.5</f>
        <v>443.5</v>
      </c>
      <c r="E64">
        <f>J64*$C$12</f>
        <v>1</v>
      </c>
      <c r="F64">
        <f>C64*D64*E64/10^6</f>
        <v>0.557036</v>
      </c>
      <c r="G64" t="str">
        <v>Khung</v>
      </c>
      <c r="J64">
        <v>1</v>
      </c>
    </row>
    <row r="65">
      <c r="B65">
        <f>$C$11</f>
        <v>6</v>
      </c>
      <c r="C65">
        <f>C9-34.5-22</f>
        <v>943.5</v>
      </c>
      <c r="D65">
        <f>C6-C8-C7-22*2</f>
        <v>1156</v>
      </c>
      <c r="E65">
        <f>J65*$C$12</f>
        <v>1</v>
      </c>
      <c r="F65">
        <f>C65*D65*E65/10^6</f>
        <v>1.090686</v>
      </c>
      <c r="G65" t="str">
        <v>Khung</v>
      </c>
      <c r="J65">
        <v>1</v>
      </c>
    </row>
    <row r="66">
      <c r="B66">
        <f>$C$11</f>
        <v>6</v>
      </c>
      <c r="C66">
        <f>C10-34.5-22</f>
        <v>443.5</v>
      </c>
      <c r="D66">
        <f>C6-C8-C7-22*2</f>
        <v>1156</v>
      </c>
      <c r="E66">
        <f>J66*$C$12</f>
        <v>1</v>
      </c>
      <c r="F66">
        <f>C66*D66*E66/10^6</f>
        <v>0.512686</v>
      </c>
      <c r="G66" t="str">
        <v>Khung</v>
      </c>
      <c r="J66">
        <v>1</v>
      </c>
    </row>
    <row r="67">
      <c r="B67">
        <f>$C$11</f>
        <v>6</v>
      </c>
      <c r="C67">
        <f>C5-C9-C10-22*2</f>
        <v>1256</v>
      </c>
      <c r="D67">
        <f>C6-C8-C7-22*2</f>
        <v>1156</v>
      </c>
      <c r="E67">
        <f>J67*$C$12</f>
        <v>1</v>
      </c>
      <c r="F67">
        <f>C67*D67*E67/10^6</f>
        <v>1.451936</v>
      </c>
      <c r="G67" t="str">
        <v>Khung</v>
      </c>
      <c r="J67">
        <v>1</v>
      </c>
    </row>
    <row r="68">
      <c r="B68">
        <f>$C$11</f>
        <v>6</v>
      </c>
      <c r="C68">
        <f>C9-34.5-22</f>
        <v>943.5</v>
      </c>
      <c r="D68">
        <f>C7-34.5-22</f>
        <v>943.5</v>
      </c>
      <c r="E68">
        <f>J68*$C$12</f>
        <v>1</v>
      </c>
      <c r="F68">
        <f>C68*D68*E68/10^6</f>
        <v>0.89019225</v>
      </c>
      <c r="G68" t="str">
        <v>Khung</v>
      </c>
      <c r="J68">
        <v>1</v>
      </c>
    </row>
    <row r="69">
      <c r="B69">
        <f>$C$11</f>
        <v>6</v>
      </c>
      <c r="C69">
        <f>C10-34.5-22</f>
        <v>443.5</v>
      </c>
      <c r="D69">
        <f>C7-34.5-22</f>
        <v>943.5</v>
      </c>
      <c r="E69">
        <f>J69*$C$12</f>
        <v>1</v>
      </c>
      <c r="F69">
        <f>C69*D69*E69/10^6</f>
        <v>0.41844225</v>
      </c>
      <c r="G69" t="str">
        <v>Khung</v>
      </c>
      <c r="J69">
        <v>1</v>
      </c>
    </row>
    <row r="70">
      <c r="B70">
        <f>$C$11</f>
        <v>6</v>
      </c>
      <c r="C70">
        <f>C5-C9-C10-22*2</f>
        <v>1256</v>
      </c>
      <c r="D70">
        <f>C7-34.5-22</f>
        <v>943.5</v>
      </c>
      <c r="E70">
        <f>J70*$C$12</f>
        <v>1</v>
      </c>
      <c r="F70">
        <f>C70*D70*E70/10^6</f>
        <v>1.185036</v>
      </c>
      <c r="G70" t="str">
        <v>Khung</v>
      </c>
      <c r="J70">
        <v>1</v>
      </c>
    </row>
    <row r="73" ht="14.1" customHeight="1">
      <c r="B73" t="str">
        <v>PHỤ KIỆN</v>
      </c>
      <c r="C73" t="str">
        <v>Vách kính</v>
      </c>
    </row>
    <row r="74">
      <c r="B74" t="str">
        <v>Tên</v>
      </c>
      <c r="C74" t="str">
        <v>Mã</v>
      </c>
      <c r="D74" t="str">
        <v>ĐVT</v>
      </c>
      <c r="E74" t="str">
        <v>Số lượng</v>
      </c>
    </row>
    <row r="75" ht="28.5" customHeight="1">
      <c r="B75" t="str">
        <v>Ke khung cửa sổ mở quay TW55</v>
      </c>
      <c r="C75" t="str">
        <v>TW55-SKNK</v>
      </c>
      <c r="D75" t="str">
        <v>Chiếc</v>
      </c>
      <c r="E75">
        <f>H75*$H$5</f>
        <v>4</v>
      </c>
      <c r="H75">
        <v>4</v>
      </c>
    </row>
    <row r="76" ht="14.1" customHeight="1"/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 ht="15.75" customHeight="1">
      <c r="B80" t="str">
        <v>Nhôm (VNĐ)</v>
      </c>
      <c r="C80" t="str">
        <v>Kg</v>
      </c>
      <c r="D80">
        <f>SUM(I46:I57)</f>
        <v>28.793043479999998</v>
      </c>
      <c r="E80">
        <f>C13</f>
        <v>90000</v>
      </c>
      <c r="F80">
        <f>E80*D80</f>
        <v>2591373.9132</v>
      </c>
    </row>
    <row r="81">
      <c r="B81" t="str">
        <v>Kính (VNĐ)</v>
      </c>
      <c r="C81" t="str">
        <v>m2</v>
      </c>
      <c r="D81">
        <f>SUM(F62:F70)</f>
        <v>6.7211490000000005</v>
      </c>
      <c r="E81">
        <f>C14</f>
        <v>245000</v>
      </c>
      <c r="F81">
        <f>E81*D81</f>
        <v>1646681.5050000001</v>
      </c>
    </row>
    <row r="82" ht="15.75" customHeight="1">
      <c r="B82" t="str">
        <v>Phụ Kiện (tự nhập) (VNĐ)</v>
      </c>
    </row>
    <row r="83" ht="15.75" customHeight="1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4238055.4182</v>
      </c>
    </row>
    <row r="87" ht="15.75" customHeight="1"/>
    <row r="89" ht="14.1" customHeight="1"/>
    <row r="90" ht="14.1" customHeight="1"/>
  </sheetData>
  <mergeCells count="2">
    <mergeCell ref="B2:G2"/>
    <mergeCell ref="B44:G44"/>
  </mergeCells>
  <pageMargins left="0.7" right="0.7" top="0.75" bottom="0.75" header="0.3" footer="0.3"/>
  <ignoredErrors>
    <ignoredError numberStoredAsText="1" sqref="A1:J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B73</v>
      </c>
      <c r="E2" t="str">
        <v>B78</v>
      </c>
    </row>
    <row r="3">
      <c r="A3" t="str">
        <v>C14</v>
      </c>
      <c r="B3" t="str">
        <v>G57</v>
      </c>
      <c r="C3" t="str">
        <v>G70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Microsoft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2023-08-29T09:36:21Z</dcterms:created>
  <dcterms:modified xsi:type="dcterms:W3CDTF">2023-08-30T04:15:57Z</dcterms:modified>
  <cp:lastModifiedBy>Admin</cp:lastModifiedBy>
  <dc:creator>Admin</dc:creator>
</cp:coreProperties>
</file>