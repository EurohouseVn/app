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DMQ2C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workbookViewId="0" rightToLeft="0"/>
  </sheetViews>
  <sheetData>
    <row r="2">
      <c r="B2" t="str">
        <v>BẢN VẼ SẢN XUẤT A65OVN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trượt Slim nội thất nhiều cánh</v>
      </c>
    </row>
    <row r="5">
      <c r="B5" t="str">
        <v>Rộng Cửa (B) (mm)</v>
      </c>
      <c r="C5">
        <v>3200</v>
      </c>
      <c r="F5" t="str">
        <v>Giá kính (VNĐ/m2)</v>
      </c>
      <c r="G5">
        <v>245000</v>
      </c>
      <c r="H5">
        <f>C10</f>
        <v>1</v>
      </c>
      <c r="I5">
        <f>C13</f>
        <v>7.04</v>
      </c>
    </row>
    <row r="6">
      <c r="B6" t="str">
        <v>Cao Cửa (H) (mm)</v>
      </c>
      <c r="C6">
        <v>2200</v>
      </c>
      <c r="F6" t="str">
        <v>(1)-Cánh ĐI ngậm khung</v>
      </c>
      <c r="G6">
        <v>7</v>
      </c>
    </row>
    <row r="7">
      <c r="B7" t="str">
        <v>Số cánh</v>
      </c>
      <c r="C7">
        <v>4</v>
      </c>
      <c r="F7" t="str">
        <v>(2)-Cánh SỔ ngậm khung</v>
      </c>
      <c r="G7">
        <v>7</v>
      </c>
    </row>
    <row r="8">
      <c r="B8" t="str">
        <v>Hở chân cánh (mm)</v>
      </c>
      <c r="C8">
        <v>8</v>
      </c>
      <c r="F8" t="str">
        <v>(3)-Hở giữa cửa ĐI 2 (4) cánh</v>
      </c>
      <c r="G8">
        <v>5</v>
      </c>
    </row>
    <row r="9">
      <c r="B9" t="str">
        <v>Loại kính</v>
      </c>
      <c r="C9">
        <v>6</v>
      </c>
      <c r="F9" t="str">
        <v>(4)-Hở cánh cửa ĐI 4 cánh</v>
      </c>
      <c r="G9">
        <v>5</v>
      </c>
    </row>
    <row r="10">
      <c r="B10" t="str">
        <v>Số bộ</v>
      </c>
      <c r="C10">
        <v>1</v>
      </c>
      <c r="F10" t="str">
        <v>(5)-Hở giữa cửa SỔ 2 cánh</v>
      </c>
      <c r="G10">
        <v>5</v>
      </c>
    </row>
    <row r="11">
      <c r="B11" t="str">
        <v>Giá nhôm (VNĐ/Kg)</v>
      </c>
      <c r="C11">
        <v>105000</v>
      </c>
      <c r="F11" t="str">
        <v>(6)-Cánh TRƯỢT ngậm khung</v>
      </c>
      <c r="G11">
        <v>5</v>
      </c>
    </row>
    <row r="12">
      <c r="B12" t="str">
        <v>Giá kính (VNĐ/m2)</v>
      </c>
      <c r="C12">
        <v>245000</v>
      </c>
      <c r="F12" t="str">
        <v>(7)-Khe hở kính</v>
      </c>
      <c r="G12">
        <v>10</v>
      </c>
    </row>
    <row r="13">
      <c r="B13" t="str">
        <v>Diện tích/bộ</v>
      </c>
      <c r="C13">
        <f>C5*C6/10^6</f>
        <v>7.04</v>
      </c>
      <c r="F13" t="str">
        <v>(8)-Cao khung ĐI quay (tính cánh)</v>
      </c>
      <c r="G13">
        <v>46</v>
      </c>
    </row>
    <row r="14">
      <c r="B14" t="str">
        <v>Tổng diện tích</v>
      </c>
      <c r="C14">
        <f>C13*C10</f>
        <v>7.04</v>
      </c>
      <c r="F14" t="str">
        <v>(9)-Cao khung ĐI quay (tính đố)</v>
      </c>
      <c r="G14">
        <v>34</v>
      </c>
    </row>
    <row r="15">
      <c r="F15" t="str">
        <v>(8.1)-Cao khung SỔ quay (tính cánh)</v>
      </c>
      <c r="G15">
        <v>38</v>
      </c>
    </row>
    <row r="16">
      <c r="F16" t="str">
        <v>(9.1)-Cao khung SỔ quay (tính đố)</v>
      </c>
      <c r="G16">
        <v>26</v>
      </c>
    </row>
    <row r="17">
      <c r="F17" t="str">
        <v>(10)-Cao đố chia vách (tính cánh)</v>
      </c>
      <c r="G17">
        <v>38</v>
      </c>
    </row>
    <row r="18">
      <c r="F18" t="str">
        <v>(11)-Cao đố chia vách (tính đố)</v>
      </c>
      <c r="G18">
        <v>14</v>
      </c>
    </row>
    <row r="19">
      <c r="F19" t="str">
        <v>(12)-Cao cánh ĐI quay (tính kính, nẹp)</v>
      </c>
      <c r="G19">
        <v>68</v>
      </c>
    </row>
    <row r="20">
      <c r="F20" t="str">
        <v>(13)-Cao cánh ĐI quay (tính đố cánh)</v>
      </c>
      <c r="G20">
        <v>63</v>
      </c>
    </row>
    <row r="21">
      <c r="F21" t="str">
        <v>(14)-Cao đố cánh ĐI quay</v>
      </c>
      <c r="G21">
        <v>30</v>
      </c>
    </row>
    <row r="22">
      <c r="F22" t="str">
        <v>(15)-Cao cánh SỔ quay (tính kính)</v>
      </c>
      <c r="G22">
        <v>62</v>
      </c>
    </row>
    <row r="23">
      <c r="F23" t="str">
        <v>(16)-Cao nẹp (tính nẹp vách, cánh)</v>
      </c>
      <c r="G23">
        <v>20</v>
      </c>
      <c r="H23">
        <v>26</v>
      </c>
    </row>
    <row r="24">
      <c r="F24" t="str">
        <v>(17)-Cao khung TRƯỢT</v>
      </c>
      <c r="G24">
        <v>0</v>
      </c>
    </row>
    <row r="25">
      <c r="F25" t="str">
        <v>(18)-Cao cánh TRƯỢT (tính cánh)</v>
      </c>
      <c r="G25">
        <v>0</v>
      </c>
    </row>
    <row r="26">
      <c r="F26" t="str">
        <v>(19)-Cao cánh TRƯỢT (tính kính)</v>
      </c>
      <c r="G26">
        <v>0</v>
      </c>
    </row>
    <row r="27">
      <c r="F27" t="str">
        <v>(20)-Dày hèm đối đầu TRƯỢT 4 cánh</v>
      </c>
      <c r="G27">
        <v>0</v>
      </c>
    </row>
    <row r="28">
      <c r="F28" t="str">
        <v>(21)-Dày thanh nối khung</v>
      </c>
      <c r="G28">
        <v>2</v>
      </c>
    </row>
    <row r="29">
      <c r="F29" t="str">
        <v>(22)-Tính đố động = Cánh trừ</v>
      </c>
      <c r="G29">
        <v>32</v>
      </c>
    </row>
    <row r="30">
      <c r="F30" t="str">
        <v>(23)-Tính ốp chân = Cánh trừ</v>
      </c>
      <c r="G30">
        <v>32</v>
      </c>
    </row>
    <row r="31">
      <c r="F31" t="str">
        <v>Ốp chân cánh cửa đi (kg/m)</v>
      </c>
      <c r="G31">
        <v>0.597</v>
      </c>
      <c r="H31" t="str">
        <v>(22)-Cao gân cánh ĐI 55 (tính kính)</v>
      </c>
      <c r="I31">
        <v>0</v>
      </c>
    </row>
    <row r="32">
      <c r="F32" t="str">
        <v>Khung cửa ĐI quay (kg/m)</v>
      </c>
      <c r="G32">
        <v>1.053</v>
      </c>
    </row>
    <row r="33">
      <c r="F33" t="str">
        <v>Khung cửa SỔ quay (kg/m)</v>
      </c>
      <c r="G33">
        <v>0.836</v>
      </c>
    </row>
    <row r="34">
      <c r="F34" t="str">
        <v>Đố chia khung (kg/m)</v>
      </c>
      <c r="G34">
        <v>1.105</v>
      </c>
    </row>
    <row r="35">
      <c r="F35" t="str">
        <v>Cánh cửa SỔ quay (kg/m)</v>
      </c>
      <c r="G35">
        <v>1.044</v>
      </c>
    </row>
    <row r="36">
      <c r="F36" t="str">
        <v>Cánh cửa ĐI (kg/m)</v>
      </c>
      <c r="G36">
        <v>1.273</v>
      </c>
    </row>
    <row r="37">
      <c r="F37" t="str">
        <v>Đố cánh cửa ĐI (kg/m)</v>
      </c>
      <c r="G37">
        <v>1</v>
      </c>
    </row>
    <row r="38">
      <c r="F38" t="str">
        <v>Đố động (kg/m)</v>
      </c>
      <c r="G38">
        <v>0.943</v>
      </c>
    </row>
    <row r="39">
      <c r="F39" t="str">
        <v>Khung cửa TRƯỢT (kg/m)</v>
      </c>
      <c r="G39">
        <v>0</v>
      </c>
    </row>
    <row r="40">
      <c r="F40" t="str">
        <v>Cánh cửa TRƯỢT (kg/m)</v>
      </c>
      <c r="G40">
        <v>0</v>
      </c>
    </row>
    <row r="41">
      <c r="F41" t="str">
        <v>Móc cánh TRƯỢT (kg/m)</v>
      </c>
      <c r="G41">
        <v>0</v>
      </c>
    </row>
    <row r="42">
      <c r="F42" t="str">
        <v>Nối khung (kg/m)</v>
      </c>
      <c r="G42">
        <v>0.392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Ray trên cửa đi lùa Slim</v>
      </c>
      <c r="C46" t="str">
        <v>Ngang trên</v>
      </c>
      <c r="D46" t="str">
        <v>TT03</v>
      </c>
      <c r="E46" t="str">
        <v>90-90</v>
      </c>
      <c r="F46">
        <f>$C$10*J46</f>
        <v>2</v>
      </c>
      <c r="G46">
        <f>C5-36-16</f>
        <v>3148</v>
      </c>
      <c r="H46">
        <v>1.2</v>
      </c>
      <c r="I46">
        <f>F46*G46*H46/1000</f>
        <v>7.5552</v>
      </c>
      <c r="J46">
        <v>2</v>
      </c>
    </row>
    <row r="47">
      <c r="B47" t="str">
        <v>Ray trên cửa đi lùa Slim</v>
      </c>
      <c r="C47" t="str">
        <v>Ngang trên</v>
      </c>
      <c r="D47" t="str">
        <v>TT03</v>
      </c>
      <c r="E47" t="str">
        <v>90-90</v>
      </c>
      <c r="F47">
        <f>$C$10*(C7-2)</f>
        <v>2</v>
      </c>
      <c r="G47">
        <f>C5-36*2</f>
        <v>3128</v>
      </c>
      <c r="H47">
        <v>1.2</v>
      </c>
      <c r="I47">
        <f>F47*G47*H47/1000</f>
        <v>7.5072</v>
      </c>
      <c r="J47">
        <v>1</v>
      </c>
    </row>
    <row r="48">
      <c r="B48" t="str">
        <v>Ốp khung bao ngang Slim</v>
      </c>
      <c r="C48" t="str">
        <v>Ngang trên</v>
      </c>
      <c r="D48" t="str">
        <v>TT10</v>
      </c>
      <c r="E48" t="str">
        <v>90-90</v>
      </c>
      <c r="F48">
        <f>$C$10*J48</f>
        <v>2</v>
      </c>
      <c r="G48">
        <f>C5-36*2</f>
        <v>3128</v>
      </c>
      <c r="H48">
        <v>0.297</v>
      </c>
      <c r="I48">
        <f>F48*G48*H48/1000</f>
        <v>1.858032</v>
      </c>
      <c r="J48">
        <v>2</v>
      </c>
    </row>
    <row r="49">
      <c r="B49" t="str">
        <v>Nối khung bao ngang Slim</v>
      </c>
      <c r="C49" t="str">
        <v>Ngang trên</v>
      </c>
      <c r="D49" t="str">
        <v>TT07</v>
      </c>
      <c r="E49" t="str">
        <v>90-90</v>
      </c>
      <c r="F49">
        <f>$C$10*(C7-1)</f>
        <v>3</v>
      </c>
      <c r="G49">
        <f>C5-36*2</f>
        <v>3128</v>
      </c>
      <c r="H49">
        <v>0.224</v>
      </c>
      <c r="I49">
        <f>F49*G49*H49/1000</f>
        <v>2.102016</v>
      </c>
      <c r="J49">
        <v>2</v>
      </c>
    </row>
    <row r="50">
      <c r="B50" t="str">
        <v>Cánh ngang cửa đi lùa Slim</v>
      </c>
      <c r="C50" t="str">
        <v>Ngang</v>
      </c>
      <c r="D50" t="str">
        <v>TT04B</v>
      </c>
      <c r="E50" t="str">
        <v>90-90</v>
      </c>
      <c r="F50">
        <f>$C$10*C7*2</f>
        <v>8</v>
      </c>
      <c r="G50">
        <f>(C5+13.5*(C7-1))/C7</f>
        <v>810.125</v>
      </c>
      <c r="H50">
        <v>0.789</v>
      </c>
      <c r="I50">
        <f>F50*G50*H50/1000</f>
        <v>5.113509</v>
      </c>
      <c r="J50">
        <v>6</v>
      </c>
    </row>
    <row r="51">
      <c r="B51" t="str">
        <v>Cánh đứng cửa đi lùa Slim</v>
      </c>
      <c r="C51" t="str">
        <v>Đứng</v>
      </c>
      <c r="D51" t="str">
        <v>TT06B</v>
      </c>
      <c r="E51" t="str">
        <v>90-90</v>
      </c>
      <c r="F51">
        <f>$C$10*C7*2</f>
        <v>8</v>
      </c>
      <c r="G51">
        <f>C6-76+23-23*2-C8</f>
        <v>2093</v>
      </c>
      <c r="H51">
        <v>0.672</v>
      </c>
      <c r="I51">
        <f>F51*G51*H51/1000</f>
        <v>11.251968000000002</v>
      </c>
      <c r="J51">
        <v>6</v>
      </c>
    </row>
    <row r="52">
      <c r="B52" t="str">
        <v>Ốp cánh đứng trơn Slim</v>
      </c>
      <c r="C52" t="str">
        <v>Đứng</v>
      </c>
      <c r="D52" t="str">
        <v>TT12</v>
      </c>
      <c r="E52" t="str">
        <v>90-90</v>
      </c>
      <c r="F52">
        <f>$C$10*J52</f>
        <v>2</v>
      </c>
      <c r="G52">
        <f>C6-76+23-C8</f>
        <v>2139</v>
      </c>
      <c r="H52">
        <v>0.328</v>
      </c>
      <c r="I52">
        <f>F52*G52*H52/1000</f>
        <v>1.403184</v>
      </c>
      <c r="J52">
        <v>2</v>
      </c>
    </row>
    <row r="53">
      <c r="B53" t="str">
        <v>Ốp cánh đứng móc Slim</v>
      </c>
      <c r="C53" t="str">
        <v>Đứng</v>
      </c>
      <c r="D53" t="str">
        <v>TT12B</v>
      </c>
      <c r="E53" t="str">
        <v>90-90</v>
      </c>
      <c r="F53">
        <f>$C$10*(C7-1)*2</f>
        <v>6</v>
      </c>
      <c r="G53">
        <f>G52</f>
        <v>2139</v>
      </c>
      <c r="H53">
        <v>0.361</v>
      </c>
      <c r="I53">
        <f>F53*G53*H53/1000</f>
        <v>4.633074</v>
      </c>
      <c r="J53">
        <v>4</v>
      </c>
    </row>
    <row r="56">
      <c r="B56" t="str">
        <v>KÍCH THƯỚC CẮT KÍNH</v>
      </c>
    </row>
    <row r="57">
      <c r="B57" t="str">
        <v>Tên kính</v>
      </c>
      <c r="C57" t="str">
        <v>Rộng</v>
      </c>
      <c r="D57" t="str">
        <v>Cao</v>
      </c>
      <c r="E57" t="str">
        <v>Số lượng</v>
      </c>
      <c r="F57" t="str">
        <v>Diện tích kính (m2)</v>
      </c>
      <c r="G57" t="str">
        <v>Vị trí</v>
      </c>
    </row>
    <row r="58">
      <c r="B58">
        <f>C9</f>
        <v>6</v>
      </c>
      <c r="C58">
        <f>G50-8*2-7</f>
        <v>787.125</v>
      </c>
      <c r="D58">
        <f>G51+8*2-7</f>
        <v>2102</v>
      </c>
      <c r="E58">
        <f>C7*C10</f>
        <v>4</v>
      </c>
      <c r="F58">
        <f>E58*D58*C58/10^6</f>
        <v>6.618147</v>
      </c>
      <c r="G58" t="str">
        <v>cánh</v>
      </c>
    </row>
    <row r="61">
      <c r="B61" t="str">
        <v>PHỤ KIỆN</v>
      </c>
      <c r="C61" t="str">
        <v>đi 1 cánh</v>
      </c>
    </row>
    <row r="62">
      <c r="B62" t="str">
        <v>Tên</v>
      </c>
      <c r="C62" t="str">
        <v>Mã</v>
      </c>
      <c r="D62" t="str">
        <v>ĐVT</v>
      </c>
      <c r="E62" t="str">
        <v>Số lượng</v>
      </c>
    </row>
    <row r="63">
      <c r="B63" t="str">
        <v>Bộ phụ kiện Slim nhiều cánh SLPMA</v>
      </c>
      <c r="C63" t="str">
        <v>SLPMA-NC</v>
      </c>
      <c r="D63" t="str">
        <v>Bộ</v>
      </c>
      <c r="E63">
        <f>H63*$H$5</f>
        <v>1</v>
      </c>
      <c r="H63">
        <v>1</v>
      </c>
    </row>
    <row r="66">
      <c r="B66" t="str">
        <v>BẢNG TÍNH GIÁ THÀNH</v>
      </c>
    </row>
    <row r="67">
      <c r="B67" t="str">
        <v>Tên gọi</v>
      </c>
      <c r="C67" t="str">
        <v>Đơn vị tính</v>
      </c>
      <c r="D67" t="str">
        <v>Số lượng</v>
      </c>
      <c r="E67" t="str">
        <v>Đơn giá</v>
      </c>
      <c r="F67" t="str">
        <v>Thành tiền</v>
      </c>
    </row>
    <row r="68">
      <c r="B68" t="str">
        <v>Nhôm (VNĐ)</v>
      </c>
      <c r="C68" t="str">
        <v>Kg</v>
      </c>
      <c r="D68">
        <f>SUM(I46:I53)</f>
        <v>41.424183000000006</v>
      </c>
      <c r="E68">
        <f>C11</f>
        <v>105000</v>
      </c>
      <c r="F68">
        <f>E68*D68</f>
        <v>4349539.215000001</v>
      </c>
    </row>
    <row r="69">
      <c r="B69" t="str">
        <v>Kính (VNĐ)</v>
      </c>
      <c r="C69" t="str">
        <v>m2</v>
      </c>
      <c r="D69">
        <f>SUM(F58:F58)</f>
        <v>6.618147</v>
      </c>
      <c r="E69">
        <f>C12</f>
        <v>245000</v>
      </c>
      <c r="F69">
        <f>E69*D69</f>
        <v>1621446.015</v>
      </c>
    </row>
    <row r="70">
      <c r="B70" t="str">
        <v>Phụ Kiện (tự nhập) (VNĐ)</v>
      </c>
    </row>
    <row r="71">
      <c r="B71" t="str">
        <v>Vật Tư Phụ (tự nhập) (VNĐ)</v>
      </c>
    </row>
    <row r="72">
      <c r="B72" t="str">
        <v>Công Sản Xuất + Lắp Đặt (VNĐ)</v>
      </c>
    </row>
    <row r="73">
      <c r="B73" t="str">
        <v>Tổng (chưa tính hao hụt nhôm)</v>
      </c>
      <c r="F73">
        <f>SUM(F68:F72)</f>
        <v>5970985.23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B56</v>
      </c>
      <c r="D2" t="str">
        <v>B61</v>
      </c>
      <c r="E2" t="str">
        <v>B66</v>
      </c>
    </row>
    <row r="3">
      <c r="A3" t="str">
        <v>C12</v>
      </c>
      <c r="B3" t="str">
        <v>G53</v>
      </c>
      <c r="C3" t="str">
        <v>G58</v>
      </c>
      <c r="D3" t="str">
        <v>E63</v>
      </c>
      <c r="E3" t="str">
        <v>F73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F73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2024-07-09T01:42:13Z</dcterms:modified>
  <cp:lastModifiedBy>Admin</cp:lastModifiedBy>
  <cp:lastPrinted>2014-12-05T03:23:20Z</cp:lastPrinted>
  <dc:creator>Windows User</dc:creator>
</cp:coreProperties>
</file>