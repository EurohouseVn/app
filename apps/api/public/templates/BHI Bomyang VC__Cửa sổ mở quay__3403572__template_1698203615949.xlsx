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/>
  <sheets>
    <sheet name="CSMQ2C (2)" sheetId="1" r:id="rId1"/>
    <sheet name="TSS1" sheetId="2" r:id="rId2"/>
  </sheets>
  <definedNames>
    <definedName name="AllSh">SUBSTITUTE(ShN,"["&amp;Wb&amp;"]","")</definedName>
    <definedName name="EP08E">'[1]gia vat tu'!$D$13</definedName>
    <definedName name="EP265K">'[1]gia vat tu'!$D$16</definedName>
    <definedName name="EP27E">'[1]gia vat tu'!$D$14</definedName>
    <definedName name="Glass" localSheetId="0">[2]Glass!$B$8:$B$17</definedName>
    <definedName name="Henhom" localSheetId="0">[2]Alu!$D$91:$D$95</definedName>
    <definedName name="K_Inox">'[1]gia vat tu'!$D$21</definedName>
    <definedName name="Keo_bot">'[1]gia vat tu'!$D$20</definedName>
    <definedName name="kinh">#REF!</definedName>
    <definedName name="MA_CSMQXF55">[2]Alu!$B$33:$B$48</definedName>
    <definedName name="SiK">'[1]gia vat tu'!$D$18</definedName>
    <definedName name="SiT">'[1]gia vat tu'!$D$19</definedName>
    <definedName name="VIT_Inox">'[1]gia vat tu'!$D$24</definedName>
    <definedName name="vitri">[2]Alu!$D$97:$D$109</definedName>
    <definedName name="VT_PHU" localSheetId="0">[2]Phụ!$B$2:$B$14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3" formatCode="_(* #,##0.00_);_(* \(#,##0.00\);_(* &quot;-&quot;??_);_(@_)"/>
    <numFmt numFmtId="56" formatCode="&quot;上午/下午 &quot;hh&quot;時&quot;mm&quot;分&quot;ss&quot;秒 &quot;"/>
    <numFmt numFmtId="164" formatCode="_(* #,##0_);_(* \(#,##0\);_(* &quot;-&quot;??_);_(@_)"/>
    <numFmt numFmtId="165" formatCode="&quot;H2=&quot;0"/>
    <numFmt numFmtId="166" formatCode="_(* #,##0.0_);_(* \(#,##0.0\);_(* &quot;-&quot;??_);_(@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1"/>
  <sheetViews>
    <sheetView workbookViewId="0" rightToLeft="0"/>
  </sheetViews>
  <sheetData>
    <row r="2">
      <c r="B2" t="str">
        <v>BẢN VẼ SẢN XUẤT BY55</v>
      </c>
    </row>
    <row r="3">
      <c r="B3" t="str">
        <v>Tên khách hàng</v>
      </c>
      <c r="C3" t="str">
        <v>Anh Tuấn</v>
      </c>
      <c r="F3" t="str">
        <v>Loại kính</v>
      </c>
      <c r="G3">
        <v>6</v>
      </c>
    </row>
    <row r="4">
      <c r="B4" t="str">
        <v>Ký hiệu cửa</v>
      </c>
      <c r="C4" t="str">
        <v>S3.2</v>
      </c>
      <c r="F4" t="str">
        <v>Giá nhôm (VNĐ/Kg)</v>
      </c>
      <c r="G4">
        <v>90000</v>
      </c>
      <c r="H4" t="str">
        <v>Cửa sổ mở quay (hất) 4 cánh liền vách</v>
      </c>
    </row>
    <row r="5">
      <c r="B5" t="str">
        <v>Rộng Cửa (B) (mm)</v>
      </c>
      <c r="C5">
        <v>2300</v>
      </c>
      <c r="F5" t="str">
        <v>Giá kính (VNĐ/m2)</v>
      </c>
      <c r="G5">
        <v>245000</v>
      </c>
      <c r="H5">
        <f>C10</f>
        <v>1</v>
      </c>
      <c r="I5">
        <f>C13</f>
        <v>4.14</v>
      </c>
    </row>
    <row r="6">
      <c r="B6" t="str">
        <v>Cao Cửa (H) (mm)</v>
      </c>
      <c r="C6">
        <v>1800</v>
      </c>
      <c r="F6" t="str">
        <v>(1)-Cánh cửa đi ngậm khung</v>
      </c>
      <c r="G6">
        <v>7</v>
      </c>
    </row>
    <row r="7">
      <c r="B7" t="str">
        <v>B1 (mm)</v>
      </c>
      <c r="C7">
        <v>600</v>
      </c>
      <c r="F7" t="str">
        <v>(2)-Cánh cửa sổ ngậm khung</v>
      </c>
      <c r="G7">
        <v>7</v>
      </c>
    </row>
    <row r="8">
      <c r="B8" t="str">
        <v>H1 (mm)</v>
      </c>
      <c r="C8">
        <v>1500</v>
      </c>
      <c r="F8" t="str">
        <v>(3)-Khe hở giữa cửa đi 2 (4) cánh</v>
      </c>
      <c r="G8">
        <v>5</v>
      </c>
    </row>
    <row r="9">
      <c r="B9" t="str">
        <v>Loại kính</v>
      </c>
      <c r="C9">
        <v>6</v>
      </c>
      <c r="F9" t="str">
        <v>(4)-Khe hở cánh cửa đi 4 cánh</v>
      </c>
      <c r="G9">
        <v>5</v>
      </c>
    </row>
    <row r="10">
      <c r="B10" t="str">
        <v>Số bộ</v>
      </c>
      <c r="C10">
        <v>1</v>
      </c>
      <c r="F10" t="str">
        <v>(5)-Khe hở giữa cửa sổ 2 cánh</v>
      </c>
      <c r="G10">
        <v>5</v>
      </c>
    </row>
    <row r="11">
      <c r="B11" t="str">
        <v>Giá nhôm (VNĐ/Kg)</v>
      </c>
      <c r="C11">
        <v>90000</v>
      </c>
      <c r="F11" t="str">
        <v>(6)-Cánh cửa trượt ngậm khung</v>
      </c>
      <c r="G11">
        <v>10</v>
      </c>
    </row>
    <row r="12">
      <c r="B12" t="str">
        <v>Giá kính (VNĐ/m2)</v>
      </c>
      <c r="C12">
        <v>245000</v>
      </c>
      <c r="F12" t="str">
        <v>(7)-Khe hở kính</v>
      </c>
      <c r="G12">
        <v>10</v>
      </c>
    </row>
    <row r="13">
      <c r="B13" t="str">
        <v>Diện tích/bộ</v>
      </c>
      <c r="C13">
        <f>C5*C6/10^6</f>
        <v>4.14</v>
      </c>
      <c r="F13" t="str">
        <v>(8)-Cao khung mở quay (tính cánh)</v>
      </c>
      <c r="G13">
        <v>36</v>
      </c>
    </row>
    <row r="14">
      <c r="B14" t="str">
        <v>Tổng diện tích</v>
      </c>
      <c r="C14">
        <f>C13*C10</f>
        <v>4.14</v>
      </c>
      <c r="E14">
        <f>C5</f>
        <v>2300</v>
      </c>
      <c r="F14" t="str">
        <v>(9)-Cao khung mở quay (tính đố)</v>
      </c>
      <c r="G14">
        <v>24</v>
      </c>
    </row>
    <row r="15">
      <c r="F15" t="str">
        <v>(10)-Cao đố chia vách (tính cánh)</v>
      </c>
      <c r="G15">
        <v>38</v>
      </c>
    </row>
    <row r="16">
      <c r="F16" t="str">
        <v>(11)-Cao đố chia vách (tính đố)</v>
      </c>
      <c r="G16">
        <v>14</v>
      </c>
    </row>
    <row r="17">
      <c r="F17" t="str">
        <v>(12)-Cao cánh cửa đi (tính kính)</v>
      </c>
      <c r="G17">
        <v>73</v>
      </c>
    </row>
    <row r="18">
      <c r="F18" t="str">
        <v>(13)-Cao cánh cửa đi (tính đố cánh)</v>
      </c>
      <c r="G18">
        <v>74</v>
      </c>
    </row>
    <row r="19">
      <c r="F19" t="str">
        <v>(14)-Cao đố cánh cửa đi</v>
      </c>
      <c r="G19">
        <v>42</v>
      </c>
    </row>
    <row r="20">
      <c r="F20" t="str">
        <v>(15)-Cao cánh cửa sổ (tính kính)</v>
      </c>
      <c r="G20">
        <v>59</v>
      </c>
    </row>
    <row r="21">
      <c r="F21" t="str">
        <v>(16)-Cao nẹp (tính nẹp vách)</v>
      </c>
      <c r="G21">
        <v>19</v>
      </c>
    </row>
    <row r="22">
      <c r="F22" t="str">
        <v>(17)-Cao khung cửa trượt</v>
      </c>
      <c r="G22">
        <v>44.5</v>
      </c>
    </row>
    <row r="23">
      <c r="F23" t="str">
        <v>(18)-Cao cánh cửa trượt (tính cánh)</v>
      </c>
      <c r="G23">
        <v>66</v>
      </c>
    </row>
    <row r="24">
      <c r="F24" t="str">
        <v>(19)-Cao cánh cửa trượt (tính kính)</v>
      </c>
      <c r="G24">
        <v>54</v>
      </c>
    </row>
    <row r="25">
      <c r="F25" t="str">
        <v>(20)-Chiều dày hèm đối đầu cửa trượt</v>
      </c>
      <c r="G25">
        <v>2</v>
      </c>
    </row>
    <row r="26">
      <c r="F26" t="str">
        <v>(21)-Chiều dày thanh nối khung</v>
      </c>
      <c r="G26">
        <v>2</v>
      </c>
    </row>
    <row r="27">
      <c r="F27" t="str">
        <v>Khung cửa mở quay (kg/m)</v>
      </c>
      <c r="G27">
        <v>0.699</v>
      </c>
    </row>
    <row r="28">
      <c r="F28" t="str">
        <v>Đố chia khung (kg/m)</v>
      </c>
      <c r="G28">
        <v>0.774</v>
      </c>
    </row>
    <row r="29">
      <c r="F29" t="str">
        <v>Cánh cửa sổ quay (kg/m)</v>
      </c>
      <c r="G29">
        <v>0.758</v>
      </c>
    </row>
    <row r="30">
      <c r="F30" t="str">
        <v>Cánh đi mở quay (kg/m)</v>
      </c>
      <c r="G30">
        <v>0.868</v>
      </c>
    </row>
    <row r="31">
      <c r="F31" t="str">
        <v>Đố cánh cửa đi (kg/m)</v>
      </c>
      <c r="G31">
        <v>0.815</v>
      </c>
    </row>
    <row r="32">
      <c r="F32" t="str">
        <v>Đố động (kg/m)</v>
      </c>
      <c r="G32">
        <v>0.607</v>
      </c>
    </row>
    <row r="33">
      <c r="F33" t="str">
        <v>Ốp đáy (kg/m)</v>
      </c>
      <c r="G33">
        <v>0.318</v>
      </c>
    </row>
    <row r="34">
      <c r="F34" t="str">
        <v>Nẹp vách (kg/m)</v>
      </c>
      <c r="G34">
        <v>0.206</v>
      </c>
    </row>
    <row r="35">
      <c r="F35" t="str">
        <v>Nối khung (kg/m)</v>
      </c>
      <c r="G35">
        <v>0.303</v>
      </c>
    </row>
    <row r="36">
      <c r="F36" t="str">
        <v>Khung cửa trượt (kg/m)</v>
      </c>
      <c r="G36">
        <v>0.808</v>
      </c>
    </row>
    <row r="37">
      <c r="F37" t="str">
        <v>Cánh cửa trượt (kg/m)</v>
      </c>
      <c r="G37">
        <v>0.712</v>
      </c>
    </row>
    <row r="38">
      <c r="F38" t="str">
        <v>Móc cánh cửa trượt (kg/m)</v>
      </c>
      <c r="G38">
        <v>0.367</v>
      </c>
    </row>
    <row r="39">
      <c r="F39" t="str">
        <v>Hèm đối đầu (kg/m)</v>
      </c>
      <c r="G39">
        <v>0.29</v>
      </c>
    </row>
    <row r="40">
      <c r="F40" t="str">
        <v>(22)-Tính đố động= cánh trừ</v>
      </c>
      <c r="G40">
        <v>29</v>
      </c>
    </row>
    <row r="41">
      <c r="F41" t="str">
        <v>(23)-Cửa trượt ngậm thêm khung</v>
      </c>
      <c r="G41">
        <v>0</v>
      </c>
    </row>
    <row r="42">
      <c r="F42" t="str">
        <v>(24)-Tính hèm chân= cánh trừ</v>
      </c>
      <c r="G42">
        <v>19</v>
      </c>
    </row>
    <row r="44">
      <c r="B44" t="str">
        <v>KÍCH THƯỚC CẮT NHÔM</v>
      </c>
    </row>
    <row r="45" xml:space="preserve">
      <c r="B45" t="str">
        <v>Tên thanh nhôm</v>
      </c>
      <c r="C45" t="str">
        <v>Vị trí thanh</v>
      </c>
      <c r="D45" t="str">
        <v>Ký hiệu</v>
      </c>
      <c r="E45" t="str">
        <v>Góc cắt</v>
      </c>
      <c r="F45" t="str">
        <v>Số lượng</v>
      </c>
      <c r="G45" t="str" xml:space="preserve">
        <v xml:space="preserve">Kích thước_x000d_
(mm)</v>
      </c>
      <c r="H45" t="str" xml:space="preserve">
        <v xml:space="preserve">Trọng lượng_x000d_
(kg/m)</v>
      </c>
      <c r="I45" t="str">
        <v>Tổng trọng lượng (Kg)</v>
      </c>
      <c r="J45" t="str">
        <v>Số lượng</v>
      </c>
    </row>
    <row r="46">
      <c r="B46" t="str">
        <v>Khung cửa mở quay</v>
      </c>
      <c r="C46" t="str">
        <v>Ngang</v>
      </c>
      <c r="D46" t="str">
        <v>BHI-K55S</v>
      </c>
      <c r="E46" t="str">
        <v>45-45</v>
      </c>
      <c r="F46">
        <f>$C$10*J46</f>
        <v>2</v>
      </c>
      <c r="G46">
        <f>C5</f>
        <v>2300</v>
      </c>
      <c r="H46">
        <f>$G$27</f>
        <v>0.699</v>
      </c>
      <c r="I46">
        <f>F46*G46*H46/1000</f>
        <v>3.2154</v>
      </c>
      <c r="J46">
        <v>2</v>
      </c>
    </row>
    <row r="47">
      <c r="B47" t="str">
        <v>Khung cửa mở quay</v>
      </c>
      <c r="C47" t="str">
        <v>Đứng</v>
      </c>
      <c r="D47" t="str">
        <v>BHI-K55S</v>
      </c>
      <c r="E47" t="str">
        <v>45-45</v>
      </c>
      <c r="F47">
        <f>$C$10*J47</f>
        <v>2</v>
      </c>
      <c r="G47">
        <f>C6</f>
        <v>1800</v>
      </c>
      <c r="H47">
        <f>$G$27</f>
        <v>0.699</v>
      </c>
      <c r="I47">
        <f>F47*G47*H47/1000</f>
        <v>2.5163999999999995</v>
      </c>
      <c r="J47">
        <v>2</v>
      </c>
    </row>
    <row r="48">
      <c r="B48" t="str">
        <v>Đố chia khung</v>
      </c>
      <c r="C48" t="str">
        <v>Đứng</v>
      </c>
      <c r="D48" t="str">
        <v>BHI-T55</v>
      </c>
      <c r="E48" t="str">
        <v>90-90</v>
      </c>
      <c r="F48">
        <f>$C$10*J48</f>
        <v>2</v>
      </c>
      <c r="G48">
        <f>G47-G14*2</f>
        <v>1752</v>
      </c>
      <c r="H48">
        <f>$G$28</f>
        <v>0.774</v>
      </c>
      <c r="I48">
        <f>F48*G48*H48/1000</f>
        <v>2.712096</v>
      </c>
      <c r="J48">
        <v>2</v>
      </c>
    </row>
    <row r="49">
      <c r="B49" t="str">
        <v>Đố chia khung</v>
      </c>
      <c r="C49" t="str">
        <v>Ngang</v>
      </c>
      <c r="D49" t="str">
        <v>BHI-T55</v>
      </c>
      <c r="E49" t="str">
        <v>90-90</v>
      </c>
      <c r="F49">
        <f>$C$10*J49</f>
        <v>2</v>
      </c>
      <c r="G49">
        <f>C7-G14-G16/2</f>
        <v>569</v>
      </c>
      <c r="H49">
        <f>$G$28</f>
        <v>0.774</v>
      </c>
      <c r="I49">
        <f>F49*G49*H49/1000</f>
        <v>0.880812</v>
      </c>
      <c r="J49">
        <v>2</v>
      </c>
    </row>
    <row r="50">
      <c r="B50" t="str">
        <v>Đố chia khung</v>
      </c>
      <c r="C50" t="str">
        <v>Ngang</v>
      </c>
      <c r="D50" t="str">
        <v>BHI-T55</v>
      </c>
      <c r="E50" t="str">
        <v>90-90</v>
      </c>
      <c r="F50">
        <f>$C$10*J50</f>
        <v>1</v>
      </c>
      <c r="G50">
        <f>G46-C7*2-G16</f>
        <v>1086</v>
      </c>
      <c r="H50">
        <f>$G$28</f>
        <v>0.774</v>
      </c>
      <c r="I50">
        <f>F50*G50*H50/1000</f>
        <v>0.8405640000000001</v>
      </c>
      <c r="J50">
        <v>1</v>
      </c>
    </row>
    <row r="51">
      <c r="B51" t="str">
        <v>Đố chia khung</v>
      </c>
      <c r="C51" t="str">
        <v>Đứng</v>
      </c>
      <c r="D51" t="str">
        <v>BHI-T55</v>
      </c>
      <c r="E51" t="str">
        <v>90-90</v>
      </c>
      <c r="F51">
        <f>$C$10*J51</f>
        <v>1</v>
      </c>
      <c r="G51">
        <f>G47-C8-G14-G16/2</f>
        <v>269</v>
      </c>
      <c r="H51">
        <f>$G$28</f>
        <v>0.774</v>
      </c>
      <c r="I51">
        <f>F51*G51*H51/1000</f>
        <v>0.20820600000000003</v>
      </c>
      <c r="J51">
        <v>1</v>
      </c>
    </row>
    <row r="52">
      <c r="B52" t="str">
        <v>Cánh cửa sổ hệ A</v>
      </c>
      <c r="C52" t="str">
        <v>Ngang</v>
      </c>
      <c r="D52" t="str">
        <v>BHI-S76</v>
      </c>
      <c r="E52" t="str">
        <v>45-45</v>
      </c>
      <c r="F52">
        <f>$C$10*J52</f>
        <v>4</v>
      </c>
      <c r="G52">
        <f>C7-G13-G15/2+G7*2</f>
        <v>559</v>
      </c>
      <c r="H52">
        <f>$G$29</f>
        <v>0.758</v>
      </c>
      <c r="I52">
        <f>F52*G52*H52/1000</f>
        <v>1.694888</v>
      </c>
      <c r="J52">
        <v>4</v>
      </c>
    </row>
    <row r="53">
      <c r="B53" t="str">
        <v>Cánh cửa sổ hệ A</v>
      </c>
      <c r="C53" t="str">
        <v>Ngang</v>
      </c>
      <c r="D53" t="str">
        <v>BHI-S76</v>
      </c>
      <c r="E53" t="str">
        <v>45-45</v>
      </c>
      <c r="F53">
        <f>$C$10*J53</f>
        <v>4</v>
      </c>
      <c r="G53">
        <f>(C5-C7*2-G15+G7*2-G10)/2</f>
        <v>535.5</v>
      </c>
      <c r="H53">
        <f>$G$29</f>
        <v>0.758</v>
      </c>
      <c r="I53">
        <f>F53*G53*H53/1000</f>
        <v>1.6236359999999999</v>
      </c>
      <c r="J53">
        <v>4</v>
      </c>
    </row>
    <row r="54">
      <c r="B54" t="str">
        <v>Cánh cửa sổ hệ A</v>
      </c>
      <c r="C54" t="str">
        <v>Đứng</v>
      </c>
      <c r="D54" t="str">
        <v>BHI-S76</v>
      </c>
      <c r="E54" t="str">
        <v>45-45</v>
      </c>
      <c r="F54">
        <f>$C$10*J54</f>
        <v>8</v>
      </c>
      <c r="G54">
        <f>C8-G13-G15/2+G7*2</f>
        <v>1459</v>
      </c>
      <c r="H54">
        <f>$G$29</f>
        <v>0.758</v>
      </c>
      <c r="I54">
        <f>F54*G54*H54/1000</f>
        <v>8.847376</v>
      </c>
      <c r="J54">
        <v>8</v>
      </c>
    </row>
    <row r="55">
      <c r="B55" t="str">
        <v>Đố động</v>
      </c>
      <c r="C55" t="str">
        <v>Đứng</v>
      </c>
      <c r="D55" t="str">
        <v>BHI-D55</v>
      </c>
      <c r="E55" t="str">
        <v>90-90</v>
      </c>
      <c r="F55">
        <f>$C$10*J55</f>
        <v>1</v>
      </c>
      <c r="G55">
        <f>G54-G40*2</f>
        <v>1401</v>
      </c>
      <c r="H55">
        <f>$G$32</f>
        <v>0.607</v>
      </c>
      <c r="I55">
        <f>F55*G55*H55/1000</f>
        <v>0.8504069999999999</v>
      </c>
      <c r="J55">
        <v>1</v>
      </c>
    </row>
    <row r="56">
      <c r="B56" t="str">
        <v>Nẹp vách cải tiến</v>
      </c>
      <c r="C56" t="str">
        <v>Ngang</v>
      </c>
      <c r="D56" t="str">
        <v>BHI-SV55A</v>
      </c>
      <c r="E56" t="str">
        <v>90-90</v>
      </c>
      <c r="F56">
        <f>$C$10*J56</f>
        <v>4</v>
      </c>
      <c r="G56">
        <f>C7-G13-G15/2</f>
        <v>545</v>
      </c>
      <c r="H56">
        <f>$G$34</f>
        <v>0.206</v>
      </c>
      <c r="I56">
        <f>F56*G56*H56/1000</f>
        <v>0.44908</v>
      </c>
      <c r="J56">
        <v>4</v>
      </c>
    </row>
    <row r="57">
      <c r="B57" t="str">
        <v>Nẹp vách cải tiến</v>
      </c>
      <c r="C57" t="str">
        <v>Ngang</v>
      </c>
      <c r="D57" t="str">
        <v>BHI-SV55A</v>
      </c>
      <c r="E57" t="str">
        <v>90-90</v>
      </c>
      <c r="F57">
        <f>$C$10*J57</f>
        <v>4</v>
      </c>
      <c r="G57">
        <f>G46/2-C7-G15</f>
        <v>512</v>
      </c>
      <c r="H57">
        <f>$G$34</f>
        <v>0.206</v>
      </c>
      <c r="I57">
        <f>F57*G57*H57/1000</f>
        <v>0.421888</v>
      </c>
      <c r="J57">
        <v>4</v>
      </c>
    </row>
    <row r="58">
      <c r="B58" t="str">
        <v>Nẹp vách cải tiến</v>
      </c>
      <c r="C58" t="str">
        <v>Đứng</v>
      </c>
      <c r="D58" t="str">
        <v>BHI-SV55A</v>
      </c>
      <c r="E58" t="str">
        <v>90-90</v>
      </c>
      <c r="F58">
        <f>$C$10*J58</f>
        <v>8</v>
      </c>
      <c r="G58">
        <f>G47-C8-G13-G15/2-G21*2</f>
        <v>207</v>
      </c>
      <c r="H58">
        <f>$G$34</f>
        <v>0.206</v>
      </c>
      <c r="I58">
        <f>F58*G58*H58/1000</f>
        <v>0.341136</v>
      </c>
      <c r="J58">
        <v>8</v>
      </c>
    </row>
    <row r="61">
      <c r="B61" t="str">
        <v>KÍCH THƯỚC CẮT KÍNH</v>
      </c>
    </row>
    <row r="62">
      <c r="B62" t="str">
        <v>Tên kính</v>
      </c>
      <c r="C62" t="str">
        <v>Rộng</v>
      </c>
      <c r="D62" t="str">
        <v>Cao</v>
      </c>
      <c r="E62" t="str">
        <v>Số lượng</v>
      </c>
      <c r="F62" t="str">
        <v>Diện tích kính (m2)</v>
      </c>
      <c r="G62" t="str">
        <v>Vị trí</v>
      </c>
    </row>
    <row r="63">
      <c r="B63">
        <f>C9</f>
        <v>6</v>
      </c>
      <c r="C63">
        <f>G52-G20*2-G12</f>
        <v>431</v>
      </c>
      <c r="D63">
        <f>G54-G20*2-G12</f>
        <v>1331</v>
      </c>
      <c r="E63">
        <f>2*C10</f>
        <v>2</v>
      </c>
      <c r="F63">
        <f>E63*D63*C63/10^6</f>
        <v>1.147322</v>
      </c>
      <c r="G63" t="str">
        <v>cánh</v>
      </c>
    </row>
    <row r="64">
      <c r="B64">
        <f>C9</f>
        <v>6</v>
      </c>
      <c r="C64">
        <f>G53-G20*2-G12</f>
        <v>407.5</v>
      </c>
      <c r="D64">
        <f>D63</f>
        <v>1331</v>
      </c>
      <c r="E64">
        <f>2*C10</f>
        <v>2</v>
      </c>
      <c r="F64">
        <f>E64*D64*C64/10^6</f>
        <v>1.084765</v>
      </c>
      <c r="G64" t="str">
        <v>cánh</v>
      </c>
    </row>
    <row r="65">
      <c r="B65">
        <f>C9</f>
        <v>6</v>
      </c>
      <c r="C65">
        <f>C7-G13-G15/2-G12</f>
        <v>535</v>
      </c>
      <c r="D65">
        <f>G47-C8-G13-G15/2-G12</f>
        <v>235</v>
      </c>
      <c r="E65">
        <f>2*C10</f>
        <v>2</v>
      </c>
      <c r="F65">
        <f>E65*D65*C65/10^6</f>
        <v>0.25145</v>
      </c>
      <c r="G65" t="str">
        <v>vách</v>
      </c>
    </row>
    <row r="66">
      <c r="B66">
        <f>C9</f>
        <v>6</v>
      </c>
      <c r="C66">
        <f>C5/2-C7-G15-G12</f>
        <v>502</v>
      </c>
      <c r="D66">
        <f>D65</f>
        <v>235</v>
      </c>
      <c r="E66">
        <f>2*C10</f>
        <v>2</v>
      </c>
      <c r="F66">
        <f>E66*D66*C66/10^6</f>
        <v>0.23594</v>
      </c>
      <c r="G66" t="str">
        <v>vách</v>
      </c>
    </row>
    <row r="69">
      <c r="B69" t="str">
        <v>PHỤ KIỆN</v>
      </c>
      <c r="C69" t="str">
        <v>sổ 1 cánh</v>
      </c>
    </row>
    <row r="70">
      <c r="B70" t="str">
        <v>Tên</v>
      </c>
      <c r="C70" t="str">
        <v>Mã</v>
      </c>
      <c r="D70" t="str">
        <v>ĐVT</v>
      </c>
      <c r="E70" t="str">
        <v>Số lượng</v>
      </c>
      <c r="H70" t="str">
        <v>SL/Bộ</v>
      </c>
    </row>
    <row r="71">
      <c r="B71" t="str">
        <v>Bản lề cửa sổ BY55</v>
      </c>
      <c r="C71" t="str">
        <v>BY55-SBL</v>
      </c>
      <c r="D71" t="str">
        <v>Chiếc</v>
      </c>
      <c r="E71">
        <f>H71*$H$5</f>
        <v>8</v>
      </c>
      <c r="H71">
        <v>8</v>
      </c>
    </row>
    <row r="72">
      <c r="B72" t="str">
        <v>Tay nắm cửa sổ mở quay BY55</v>
      </c>
      <c r="C72" t="str">
        <v>BY55-STN</v>
      </c>
      <c r="D72" t="str">
        <v>Chiếc</v>
      </c>
      <c r="E72">
        <f>H72*$H$5</f>
        <v>3</v>
      </c>
      <c r="H72">
        <v>3</v>
      </c>
    </row>
    <row r="73">
      <c r="B73" t="str">
        <v>Thanh chuyển động BY55</v>
      </c>
      <c r="C73" t="str">
        <v>BY55-STCD</v>
      </c>
      <c r="D73" t="str">
        <v>Thanh</v>
      </c>
      <c r="E73">
        <f>H73*$H$5</f>
        <v>3</v>
      </c>
      <c r="H73">
        <v>3</v>
      </c>
    </row>
    <row r="74">
      <c r="B74" t="str">
        <v>Vấu chốt quay hất cửa sổ BY55</v>
      </c>
      <c r="C74" t="str">
        <v>BY55-SV</v>
      </c>
      <c r="D74" t="str">
        <v>Chiếc</v>
      </c>
      <c r="E74">
        <f>H74*$H$5</f>
        <v>4</v>
      </c>
      <c r="H74">
        <v>4</v>
      </c>
    </row>
    <row r="75">
      <c r="B75" t="str">
        <v>Vấu 2 cánh cửa sổ BY55</v>
      </c>
      <c r="C75" t="str">
        <v>BY55-SV2C</v>
      </c>
      <c r="D75" t="str">
        <v>Chiếc</v>
      </c>
      <c r="E75">
        <f>H75*$H$5</f>
        <v>2</v>
      </c>
      <c r="H75">
        <v>2</v>
      </c>
    </row>
    <row r="76">
      <c r="B76" t="str">
        <v>Chốt cánh phụ cửa sổ BY55</v>
      </c>
      <c r="C76" t="str">
        <v>BY55-SCCP</v>
      </c>
      <c r="D76" t="str">
        <v>Chiếc</v>
      </c>
      <c r="E76">
        <f>H76*$H$5</f>
        <v>2</v>
      </c>
      <c r="H76">
        <v>2</v>
      </c>
    </row>
    <row r="77">
      <c r="B77" t="str">
        <v>Nắp bịt đố động BY55</v>
      </c>
      <c r="C77" t="str">
        <v>BY55-BDD</v>
      </c>
      <c r="D77" t="str">
        <v>Cặp</v>
      </c>
      <c r="E77">
        <f>H77*$H$5</f>
        <v>1</v>
      </c>
      <c r="H77">
        <v>1</v>
      </c>
    </row>
    <row r="78">
      <c r="B78" t="str">
        <v>Ke nhảy khung mở quay BY55</v>
      </c>
      <c r="C78" t="str">
        <v>BY55-KNK</v>
      </c>
      <c r="D78" t="str">
        <v>Chiếc</v>
      </c>
      <c r="E78">
        <f>H78*$H$5</f>
        <v>4</v>
      </c>
      <c r="H78">
        <v>4</v>
      </c>
    </row>
    <row r="79">
      <c r="B79" t="str">
        <v>Ke nhảy cánh sổ mở quay BY55</v>
      </c>
      <c r="C79" t="str">
        <v>BY55-SKNC</v>
      </c>
      <c r="D79" t="str">
        <v>Chiếc</v>
      </c>
      <c r="E79">
        <f>H79*$H$5*4</f>
        <v>16</v>
      </c>
      <c r="H79">
        <v>4</v>
      </c>
    </row>
    <row r="80">
      <c r="B80" t="str">
        <v>Ke tăng cứng BY55</v>
      </c>
      <c r="C80" t="str">
        <v>BY55-KTC</v>
      </c>
      <c r="D80" t="str">
        <v>Chiếc</v>
      </c>
      <c r="E80">
        <f>H80*$H$5*4</f>
        <v>16</v>
      </c>
      <c r="H80">
        <v>4</v>
      </c>
    </row>
    <row r="83">
      <c r="B83" t="str">
        <v>BẢNG TÍNH GIÁ THÀNH</v>
      </c>
    </row>
    <row r="84">
      <c r="B84" t="str">
        <v>Tên gọi</v>
      </c>
      <c r="C84" t="str">
        <v>Đơn vị tính</v>
      </c>
      <c r="D84" t="str">
        <v>Số lượng</v>
      </c>
      <c r="E84" t="str">
        <v>Đơn giá</v>
      </c>
      <c r="F84" t="str">
        <v>Thành tiền</v>
      </c>
    </row>
    <row r="85">
      <c r="B85" t="str">
        <v>Nhôm (VNĐ)</v>
      </c>
      <c r="C85" t="str">
        <v>Kg</v>
      </c>
      <c r="D85">
        <f>SUM(I46:I58)</f>
        <v>24.601888999999996</v>
      </c>
      <c r="E85">
        <f>C11</f>
        <v>90000</v>
      </c>
      <c r="F85">
        <f>E85*D85</f>
        <v>2214170.01</v>
      </c>
    </row>
    <row r="86">
      <c r="B86" t="str">
        <v>Kính (VNĐ)</v>
      </c>
      <c r="C86" t="str">
        <v>m2</v>
      </c>
      <c r="D86">
        <f>SUM(F63:F66)</f>
        <v>2.719477</v>
      </c>
      <c r="E86">
        <f>C12</f>
        <v>245000</v>
      </c>
      <c r="F86">
        <f>E86*D86</f>
        <v>666271.865</v>
      </c>
    </row>
    <row r="87">
      <c r="B87" t="str">
        <v>Phụ Kiện (tự nhập) (VNĐ)</v>
      </c>
    </row>
    <row r="88">
      <c r="B88" t="str">
        <v>Vật Tư Phụ (tự nhập) (VNĐ)</v>
      </c>
    </row>
    <row r="89">
      <c r="B89" t="str">
        <v>Công Sản Xuất + Lắp Đặt (VNĐ)</v>
      </c>
    </row>
    <row r="90">
      <c r="B90" t="str">
        <v>Tổng (chưa tính hao hụt nhôm)</v>
      </c>
      <c r="F90">
        <f>SUM(F85:F89)</f>
        <v>2880441.875</v>
      </c>
    </row>
  </sheetData>
  <mergeCells count="2">
    <mergeCell ref="B2:G2"/>
    <mergeCell ref="B44:G44"/>
  </mergeCells>
  <pageMargins left="0.7" right="0.7" top="0.75" bottom="0.75" header="0.3" footer="0.3"/>
  <ignoredErrors>
    <ignoredError numberStoredAsText="1" sqref="A1:J9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1"/>
  <sheetViews>
    <sheetView workbookViewId="0" rightToLeft="0"/>
  </sheetViews>
  <sheetData>
    <row r="1">
      <c r="A1" t="str">
        <v>Bảng 1</v>
      </c>
      <c r="B1" t="str">
        <v>Bảng 2</v>
      </c>
      <c r="C1" t="str">
        <v>Bảng 3</v>
      </c>
      <c r="D1" t="str">
        <v>Bảng 4</v>
      </c>
      <c r="E1" t="str">
        <v>Bảng 5</v>
      </c>
    </row>
    <row r="2">
      <c r="A2" t="str">
        <v>B1</v>
      </c>
      <c r="B2" t="str">
        <v>B44</v>
      </c>
      <c r="C2" t="str">
        <v>B61</v>
      </c>
      <c r="D2" t="str">
        <v>B69</v>
      </c>
      <c r="E2" t="str">
        <v>B83</v>
      </c>
    </row>
    <row r="3">
      <c r="A3" t="str">
        <v>C12</v>
      </c>
      <c r="B3" t="str">
        <v>G58</v>
      </c>
      <c r="C3" t="str">
        <v>G66</v>
      </c>
      <c r="D3" t="str">
        <v>E80</v>
      </c>
      <c r="E3" t="str">
        <v>F90</v>
      </c>
    </row>
    <row r="4">
      <c r="A4">
        <v>0</v>
      </c>
      <c r="B4">
        <v>1</v>
      </c>
      <c r="C4">
        <v>1</v>
      </c>
      <c r="D4">
        <v>0</v>
      </c>
      <c r="E4">
        <v>1</v>
      </c>
    </row>
    <row r="5">
      <c r="B5" t="str">
        <v>Ảnh</v>
      </c>
      <c r="C5" t="str">
        <v>Tổng</v>
      </c>
    </row>
    <row r="6">
      <c r="A6" t="str">
        <v>cell bắt đầu ảnh</v>
      </c>
      <c r="B6" t="str">
        <v>D3</v>
      </c>
      <c r="C6" t="str">
        <v>F90</v>
      </c>
    </row>
    <row r="7">
      <c r="A7" t="str">
        <v>cell kết thúc ảnh</v>
      </c>
      <c r="B7" t="str">
        <v>F9</v>
      </c>
    </row>
    <row r="8">
      <c r="A8" t="str">
        <v>canh trái</v>
      </c>
      <c r="B8">
        <v>0.9</v>
      </c>
    </row>
    <row r="9">
      <c r="A9" t="str">
        <v>canh trên</v>
      </c>
      <c r="B9">
        <v>0</v>
      </c>
    </row>
    <row r="10">
      <c r="A10" t="str">
        <v>canh phải</v>
      </c>
      <c r="B10">
        <v>0.5</v>
      </c>
    </row>
    <row r="11">
      <c r="A11" t="str">
        <v>canh dưới</v>
      </c>
      <c r="B11">
        <v>0</v>
      </c>
    </row>
  </sheetData>
  <pageMargins left="0.7" right="0.7" top="0.75" bottom="0.75" header="0.3" footer="0.3"/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CSMQ2C (2)</vt:lpstr>
      <vt:lpstr>TSS1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2013-05-14T01:48:43Z</dcterms:created>
  <dcterms:modified xsi:type="dcterms:W3CDTF">2023-10-24T13:01:06Z</dcterms:modified>
  <cp:lastModifiedBy>ACER</cp:lastModifiedBy>
  <cp:lastPrinted>2014-12-05T03:23:20Z</cp:lastPrinted>
  <dc:creator>Windows User</dc:creator>
</cp:coreProperties>
</file>