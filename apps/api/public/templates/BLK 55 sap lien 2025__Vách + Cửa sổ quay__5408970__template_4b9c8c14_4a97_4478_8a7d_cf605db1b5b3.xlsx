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 rightToLeft="0"/>
  </sheetViews>
  <sheetData>
    <row r="2">
      <c r="B2" t="str">
        <v>BẢN VẼ SẢN XUẤT SN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C9</f>
        <v>1</v>
      </c>
      <c r="I5">
        <f>C12</f>
        <v>3.3</v>
      </c>
    </row>
    <row r="6">
      <c r="B6" t="str">
        <v>Cao Cửa (H) (mm)</v>
      </c>
      <c r="C6">
        <v>1500</v>
      </c>
      <c r="F6" t="str">
        <v>(1)-Cánh cửa đi ngậm khung</v>
      </c>
      <c r="G6">
        <v>7</v>
      </c>
    </row>
    <row r="7">
      <c r="B7" t="str">
        <v>B1 (mm)</v>
      </c>
      <c r="C7">
        <v>600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D10">
        <f>C7</f>
        <v>600</v>
      </c>
      <c r="E10">
        <f>(C5-C7*2)/2</f>
        <v>500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(6)-Cánh cửa trượt ngậm khung</v>
      </c>
      <c r="G11">
        <v>10</v>
      </c>
    </row>
    <row r="12">
      <c r="B12" t="str">
        <v>Diện tích/bộ</v>
      </c>
      <c r="C12">
        <f>C5*C6/10^6</f>
        <v>3.3</v>
      </c>
      <c r="F12" t="str">
        <v>(7)-Khe hở kính</v>
      </c>
      <c r="G12">
        <v>10</v>
      </c>
    </row>
    <row r="13">
      <c r="B13" t="str">
        <v>Tổng diện tích</v>
      </c>
      <c r="C13">
        <f>C12*C9</f>
        <v>3.3</v>
      </c>
      <c r="F13" t="str">
        <v>(8)-Cao khung mở quay (tính cánh)</v>
      </c>
      <c r="G13">
        <v>37</v>
      </c>
    </row>
    <row r="14">
      <c r="E14">
        <f>C5</f>
        <v>2200</v>
      </c>
      <c r="F14" t="str">
        <v>(9)-Cao khung mở quay (tính đố)</v>
      </c>
      <c r="G14">
        <v>25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13</v>
      </c>
    </row>
    <row r="17">
      <c r="F17" t="str">
        <v>(12)-Cao cánh cửa đi (tính kính)</v>
      </c>
      <c r="G17">
        <v>67</v>
      </c>
    </row>
    <row r="18">
      <c r="F18" t="str">
        <v>(13)-Cao cánh cửa đi (tính đố cánh)</v>
      </c>
      <c r="G18">
        <v>74</v>
      </c>
    </row>
    <row r="19">
      <c r="F19" t="str">
        <v>(14)-Cao đố cánh cửa đi</v>
      </c>
      <c r="G19">
        <v>40</v>
      </c>
    </row>
    <row r="20">
      <c r="F20" t="str">
        <v>(15)-Cao cánh cửa sổ (tính kính)</v>
      </c>
      <c r="G20">
        <v>53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42</v>
      </c>
    </row>
    <row r="23">
      <c r="F23" t="str">
        <v>(18)-Cao cánh cửa trượt (tính cánh)</v>
      </c>
      <c r="G23">
        <v>70</v>
      </c>
    </row>
    <row r="24">
      <c r="F24" t="str">
        <v>(19)-Cao cánh cửa trượt (tính kính)</v>
      </c>
      <c r="G24">
        <v>53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0.734</v>
      </c>
    </row>
    <row r="28">
      <c r="F28" t="str">
        <v>Đố chia khung (kg/m)</v>
      </c>
      <c r="G28">
        <v>0.717</v>
      </c>
    </row>
    <row r="29">
      <c r="F29" t="str">
        <v>Cánh cửa sổ quay (kg/m)</v>
      </c>
      <c r="G29">
        <v>0.817</v>
      </c>
    </row>
    <row r="30">
      <c r="F30" t="str">
        <v>Cánh đi mở quay (kg/m)</v>
      </c>
      <c r="G30">
        <v>0.834</v>
      </c>
    </row>
    <row r="31">
      <c r="F31" t="str">
        <v>Đố cánh cửa đi (kg/m)</v>
      </c>
      <c r="G31">
        <v>0.834</v>
      </c>
    </row>
    <row r="32">
      <c r="F32" t="str">
        <v>Đố động (kg/m)</v>
      </c>
      <c r="G32">
        <v>0.584</v>
      </c>
    </row>
    <row r="33">
      <c r="F33" t="str">
        <v>Ốp đáy (kg/m)</v>
      </c>
      <c r="G33">
        <v>0.317</v>
      </c>
    </row>
    <row r="34">
      <c r="F34" t="str">
        <v>Nẹp vách (kg/m)</v>
      </c>
      <c r="G34">
        <v>0.25</v>
      </c>
    </row>
    <row r="35">
      <c r="F35" t="str">
        <v>Nối khung (kg/m)</v>
      </c>
      <c r="G35">
        <v>0.4</v>
      </c>
    </row>
    <row r="36">
      <c r="F36" t="str">
        <v>Khung cửa trượt (kg/m)</v>
      </c>
      <c r="G36">
        <v>0.75</v>
      </c>
    </row>
    <row r="37">
      <c r="F37" t="str">
        <v>Cánh cửa trượt (kg/m)</v>
      </c>
      <c r="G37">
        <v>0.684</v>
      </c>
    </row>
    <row r="38">
      <c r="F38" t="str">
        <v>Móc cánh cửa trượt (kg/m)</v>
      </c>
      <c r="G38">
        <v>0.434</v>
      </c>
    </row>
    <row r="39">
      <c r="F39" t="str">
        <v>Hèm đối đầu (kg/m)</v>
      </c>
      <c r="G39">
        <v>0.267</v>
      </c>
    </row>
    <row r="40">
      <c r="F40" t="str">
        <v>(22)-Tính đố động= cánh trừ</v>
      </c>
      <c r="G40">
        <v>29</v>
      </c>
    </row>
    <row r="41">
      <c r="F41" t="str">
        <v>(23)-Cửa trượt ngậm thêm khung</v>
      </c>
      <c r="G41">
        <v>0</v>
      </c>
    </row>
    <row r="42"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quay bản 60</v>
      </c>
      <c r="C46" t="str">
        <v>Ngang</v>
      </c>
      <c r="D46" t="str">
        <v>C3328D</v>
      </c>
      <c r="E46" t="str">
        <v>45-45</v>
      </c>
      <c r="F46">
        <f>$C$9*J46</f>
        <v>2</v>
      </c>
      <c r="G46">
        <f>C5</f>
        <v>2200</v>
      </c>
      <c r="H46">
        <f>$G$27</f>
        <v>0.734</v>
      </c>
      <c r="I46">
        <f>F46*G46*H46/1000</f>
        <v>3.2296</v>
      </c>
      <c r="J46">
        <v>2</v>
      </c>
    </row>
    <row r="47">
      <c r="B47" t="str">
        <v>Khung bao cửa quay bản 60</v>
      </c>
      <c r="C47" t="str">
        <v>Đứng</v>
      </c>
      <c r="D47" t="str">
        <v>C3328D</v>
      </c>
      <c r="E47" t="str">
        <v>45-45</v>
      </c>
      <c r="F47">
        <f>$C$9*J47</f>
        <v>2</v>
      </c>
      <c r="G47">
        <f>C6</f>
        <v>1500</v>
      </c>
      <c r="H47">
        <f>$G$27</f>
        <v>0.734</v>
      </c>
      <c r="I47">
        <f>F47*G47*H47/1000</f>
        <v>2.202</v>
      </c>
      <c r="J47">
        <v>2</v>
      </c>
    </row>
    <row r="48">
      <c r="B48" t="str">
        <v>Đố chia khung</v>
      </c>
      <c r="C48" t="str">
        <v>Đứng</v>
      </c>
      <c r="D48" t="str">
        <v>3313W</v>
      </c>
      <c r="E48" t="str">
        <v>90-90</v>
      </c>
      <c r="F48">
        <f>$C$9*J48</f>
        <v>3</v>
      </c>
      <c r="G48">
        <f>G47-G14*2</f>
        <v>1450</v>
      </c>
      <c r="H48">
        <f>$G$28</f>
        <v>0.717</v>
      </c>
      <c r="I48">
        <f>F48*G48*H48/1000</f>
        <v>3.11895</v>
      </c>
      <c r="J48">
        <v>3</v>
      </c>
    </row>
    <row r="49">
      <c r="B49" t="str">
        <v>Cánh cửa sổ mở quay</v>
      </c>
      <c r="C49" t="str">
        <v>Ngang</v>
      </c>
      <c r="D49" t="str">
        <v>3202D</v>
      </c>
      <c r="E49" t="str">
        <v>45-45</v>
      </c>
      <c r="F49">
        <f>$C$9*J49</f>
        <v>4</v>
      </c>
      <c r="G49">
        <f>C7-G13-G15/2+G7*2</f>
        <v>558.5</v>
      </c>
      <c r="H49">
        <f>$G$29</f>
        <v>0.817</v>
      </c>
      <c r="I49">
        <f>F49*G49*H49/1000</f>
        <v>1.825178</v>
      </c>
      <c r="J49">
        <v>4</v>
      </c>
    </row>
    <row r="50">
      <c r="B50" t="str">
        <v>Cánh cửa sổ mở quay</v>
      </c>
      <c r="C50" t="str">
        <v>Đứng</v>
      </c>
      <c r="D50" t="str">
        <v>3202D</v>
      </c>
      <c r="E50" t="str">
        <v>45-45</v>
      </c>
      <c r="F50">
        <f>$C$9*J50</f>
        <v>4</v>
      </c>
      <c r="G50">
        <f>C6-G13*2+G7*2</f>
        <v>1440</v>
      </c>
      <c r="H50">
        <f>$G$29</f>
        <v>0.817</v>
      </c>
      <c r="I50">
        <f>F50*G50*H50/1000</f>
        <v>4.70592</v>
      </c>
      <c r="J50">
        <v>4</v>
      </c>
    </row>
    <row r="51">
      <c r="B51" t="str">
        <v>Nẹp khung liền cửa</v>
      </c>
      <c r="C51" t="str">
        <v>Ngang</v>
      </c>
      <c r="D51" t="str">
        <v>C3296</v>
      </c>
      <c r="E51" t="str">
        <v>90-90</v>
      </c>
      <c r="F51">
        <f>$C$9*J51</f>
        <v>4</v>
      </c>
      <c r="G51">
        <f>(C5-C7*2)/2-G15</f>
        <v>463</v>
      </c>
      <c r="H51">
        <f>$G$34</f>
        <v>0.25</v>
      </c>
      <c r="I51">
        <f>F51*G51*H51/1000</f>
        <v>0.463</v>
      </c>
      <c r="J51">
        <v>4</v>
      </c>
    </row>
    <row r="52">
      <c r="B52" t="str">
        <v>Nẹp khung liền cửa</v>
      </c>
      <c r="C52" t="str">
        <v>Đứng</v>
      </c>
      <c r="D52" t="str">
        <v>C3296</v>
      </c>
      <c r="E52" t="str">
        <v>90-90</v>
      </c>
      <c r="F52">
        <f>$C$9*J52</f>
        <v>4</v>
      </c>
      <c r="G52">
        <f>C6-G13*2-G21*2</f>
        <v>1388</v>
      </c>
      <c r="H52">
        <f>$G$34</f>
        <v>0.25</v>
      </c>
      <c r="I52">
        <f>F52*G52*H52/1000</f>
        <v>1.388</v>
      </c>
      <c r="J52">
        <v>4</v>
      </c>
    </row>
    <row r="55">
      <c r="B55" t="str">
        <v>KÍCH THƯỚC CẮT KÍNH</v>
      </c>
    </row>
    <row r="56">
      <c r="B56" t="str">
        <v>Tên kính</v>
      </c>
      <c r="C56" t="str">
        <v>Rộng</v>
      </c>
      <c r="D56" t="str">
        <v>Cao</v>
      </c>
      <c r="E56" t="str">
        <v>Số lượng</v>
      </c>
      <c r="F56" t="str">
        <v>Diện tích kính (m2)</v>
      </c>
      <c r="G56" t="str">
        <v>Vị trí</v>
      </c>
    </row>
    <row r="57">
      <c r="B57">
        <f>C8</f>
        <v>6</v>
      </c>
      <c r="C57">
        <f>G49-G20*2-G12</f>
        <v>442.5</v>
      </c>
      <c r="D57">
        <f>G50-G20*2-G12</f>
        <v>1324</v>
      </c>
      <c r="E57">
        <f>2*C9</f>
        <v>2</v>
      </c>
      <c r="F57">
        <f>E57*D57*C57/10^6</f>
        <v>1.17174</v>
      </c>
      <c r="G57" t="str">
        <v>cánh</v>
      </c>
    </row>
    <row r="58">
      <c r="B58">
        <f>C8</f>
        <v>6</v>
      </c>
      <c r="C58">
        <f>C5/2-C7-G15-G12</f>
        <v>453</v>
      </c>
      <c r="D58">
        <f>C6-G13*2-G12</f>
        <v>1416</v>
      </c>
      <c r="E58">
        <f>2*C9</f>
        <v>2</v>
      </c>
      <c r="F58">
        <f>E58*D58*C58/10^6</f>
        <v>1.282896</v>
      </c>
      <c r="G58" t="str">
        <v>vách</v>
      </c>
    </row>
    <row r="61">
      <c r="B61" t="str">
        <v>PHỤ KIỆN</v>
      </c>
      <c r="C61" t="str">
        <v>sổ 1 cánh</v>
      </c>
    </row>
    <row r="62">
      <c r="B62" t="str">
        <v>Tên</v>
      </c>
      <c r="C62" t="str">
        <v>Mã</v>
      </c>
      <c r="D62" t="str">
        <v>ĐVT</v>
      </c>
      <c r="E62" t="str">
        <v>Số lượng</v>
      </c>
      <c r="H62" t="str">
        <v>SL/Bộ</v>
      </c>
    </row>
    <row r="63">
      <c r="B63" t="str">
        <v>Bản lề cửa sổ SN</v>
      </c>
      <c r="C63" t="str">
        <v>SN-SBL</v>
      </c>
      <c r="D63" t="str">
        <v>Chiếc</v>
      </c>
      <c r="E63">
        <f>H63*$H$5*2</f>
        <v>4</v>
      </c>
      <c r="H63">
        <v>2</v>
      </c>
    </row>
    <row r="64">
      <c r="B64" t="str">
        <v>Tay nắm cửa sổ mở quay SN</v>
      </c>
      <c r="C64" t="str">
        <v>SN-STN</v>
      </c>
      <c r="D64" t="str">
        <v>Chiếc</v>
      </c>
      <c r="E64">
        <f>H64*$H$5*2</f>
        <v>2</v>
      </c>
      <c r="H64">
        <v>1</v>
      </c>
    </row>
    <row r="65">
      <c r="B65" t="str">
        <v>Thanh chuyển động SN</v>
      </c>
      <c r="C65" t="str">
        <v>SN-STCD</v>
      </c>
      <c r="D65" t="str">
        <v>Thanh</v>
      </c>
      <c r="E65">
        <f>H65*$H$5*2</f>
        <v>2</v>
      </c>
      <c r="H65">
        <v>1</v>
      </c>
    </row>
    <row r="66">
      <c r="B66" t="str">
        <v>Vấu chốt quay hất cửa sổ SN</v>
      </c>
      <c r="C66" t="str">
        <v>SN-SV</v>
      </c>
      <c r="D66" t="str">
        <v>Chiếc</v>
      </c>
      <c r="E66">
        <f>H66*$H$5*2</f>
        <v>4</v>
      </c>
      <c r="H66">
        <v>2</v>
      </c>
    </row>
    <row r="67">
      <c r="B67" t="str">
        <v>Ke nhảy khung mở quay SN</v>
      </c>
      <c r="C67" t="str">
        <v>SN-KNK</v>
      </c>
      <c r="D67" t="str">
        <v>Chiếc</v>
      </c>
      <c r="E67">
        <f>H67*$H$5</f>
        <v>4</v>
      </c>
      <c r="H67">
        <v>4</v>
      </c>
    </row>
    <row r="68">
      <c r="B68" t="str">
        <v>Ke nhảy cánh sổ mở quay SN</v>
      </c>
      <c r="C68" t="str">
        <v>SN-SKNC</v>
      </c>
      <c r="D68" t="str">
        <v>Chiếc</v>
      </c>
      <c r="E68">
        <f>H68*$H$5*2</f>
        <v>8</v>
      </c>
      <c r="H68">
        <v>4</v>
      </c>
    </row>
    <row r="69">
      <c r="B69" t="str">
        <v>Ke tăng cứng SN</v>
      </c>
      <c r="C69" t="str">
        <v>SN-KTC</v>
      </c>
      <c r="D69" t="str">
        <v>Chiếc</v>
      </c>
      <c r="E69">
        <f>H69*$H$5*2</f>
        <v>8</v>
      </c>
      <c r="H69">
        <v>4</v>
      </c>
    </row>
    <row r="72">
      <c r="B72" t="str">
        <v>BẢNG TÍNH GIÁ THÀNH</v>
      </c>
    </row>
    <row r="73">
      <c r="B73" t="str">
        <v>Tên gọi</v>
      </c>
      <c r="C73" t="str">
        <v>Đơn vị tính</v>
      </c>
      <c r="D73" t="str">
        <v>Số lượng</v>
      </c>
      <c r="E73" t="str">
        <v>Đơn giá</v>
      </c>
      <c r="F73" t="str">
        <v>Thành tiền</v>
      </c>
    </row>
    <row r="74">
      <c r="B74" t="str">
        <v>Nhôm (VNĐ)</v>
      </c>
      <c r="C74" t="str">
        <v>Kg</v>
      </c>
      <c r="D74">
        <f>SUM(I46:I52)</f>
        <v>16.932647999999997</v>
      </c>
      <c r="E74">
        <f>C10</f>
        <v>90000</v>
      </c>
      <c r="F74">
        <f>E74*D74</f>
        <v>1523938.3199999996</v>
      </c>
    </row>
    <row r="75">
      <c r="B75" t="str">
        <v>Kính (VNĐ)</v>
      </c>
      <c r="C75" t="str">
        <v>m2</v>
      </c>
      <c r="D75">
        <f>SUM(F57:F58)</f>
        <v>2.454636</v>
      </c>
      <c r="E75">
        <f>C11</f>
        <v>245000</v>
      </c>
      <c r="F75">
        <f>E75*D75</f>
        <v>601385.82</v>
      </c>
    </row>
    <row r="76">
      <c r="B76" t="str">
        <v>Phụ Kiện (tự nhập) (VNĐ)</v>
      </c>
    </row>
    <row r="77">
      <c r="B77" t="str">
        <v>Vật Tư Phụ (tự nhập) (VNĐ)</v>
      </c>
    </row>
    <row r="78">
      <c r="B78" t="str">
        <v>Công Sản Xuất + Lắp Đặt (VNĐ)</v>
      </c>
    </row>
    <row r="79">
      <c r="B79" t="str">
        <v>Tổng (chưa tính hao hụt nhôm)</v>
      </c>
      <c r="F79">
        <f>SUM(F74:F78)</f>
        <v>2125324.1399999997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B55</v>
      </c>
      <c r="D2" t="str">
        <v>B61</v>
      </c>
      <c r="E2" t="str">
        <v>B72</v>
      </c>
    </row>
    <row r="3">
      <c r="A3" t="str">
        <v>C11</v>
      </c>
      <c r="B3" t="str">
        <v>G52</v>
      </c>
      <c r="C3" t="str">
        <v>G58</v>
      </c>
      <c r="D3" t="str">
        <v>E69</v>
      </c>
      <c r="E3" t="str">
        <v>F79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F79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2022-03-04T14:51:17Z</dcterms:modified>
  <cp:lastModifiedBy>ACER</cp:lastModifiedBy>
  <cp:lastPrinted>2014-12-05T03:23:20Z</cp:lastPrinted>
  <dc:creator>Windows User</dc:creator>
</cp:coreProperties>
</file>