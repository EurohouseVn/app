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workbookViewId="0" rightToLeft="0"/>
  </sheetViews>
  <sheetData>
    <row r="2">
      <c r="B2" t="str">
        <v>BẢN VẼ SẢN XUẤT ALE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sổ mở trượt 3 cánh +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5.72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850</v>
      </c>
      <c r="F7" t="str">
        <v>(2)-Cánh cửa sổ ngậm khung</v>
      </c>
      <c r="G7">
        <v>7</v>
      </c>
    </row>
    <row r="8">
      <c r="B8" t="str">
        <v>H2 (mm)</v>
      </c>
      <c r="C8">
        <v>1300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8</v>
      </c>
    </row>
    <row r="12">
      <c r="B12" t="str">
        <v>Giá kính (VNĐ/m2)</v>
      </c>
      <c r="C12">
        <v>245000</v>
      </c>
      <c r="F12" t="str">
        <v>(7)-Khe hở kính</v>
      </c>
      <c r="G12">
        <v>9</v>
      </c>
    </row>
    <row r="13">
      <c r="B13" t="str">
        <v>Diện tích/bộ</v>
      </c>
      <c r="C13">
        <f>C5*C6/10^6</f>
        <v>5.72</v>
      </c>
      <c r="E13">
        <f>C5</f>
        <v>2200</v>
      </c>
      <c r="F13" t="str">
        <v>(8)-Cao khung mở quay (tính cánh)</v>
      </c>
      <c r="G13">
        <v>37</v>
      </c>
    </row>
    <row r="14">
      <c r="B14" t="str">
        <v>Tổng diện tích</v>
      </c>
      <c r="C14">
        <f>C13*C10</f>
        <v>5.72</v>
      </c>
      <c r="F14" t="str">
        <v>(9)-Cao khung mở quay (tính đố)</v>
      </c>
      <c r="G14">
        <v>26</v>
      </c>
    </row>
    <row r="15">
      <c r="F15" t="str">
        <v>(10)-Cao đố chia vách (tính cánh)</v>
      </c>
      <c r="G15">
        <v>36</v>
      </c>
    </row>
    <row r="16">
      <c r="F16" t="str">
        <v>(11)-Cao đố chia vách (tính đố)</v>
      </c>
      <c r="G16">
        <v>14</v>
      </c>
    </row>
    <row r="17">
      <c r="F17" t="str">
        <v>(12)-Cao cánh cửa đi (tính kính)</v>
      </c>
      <c r="G17">
        <v>74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50</v>
      </c>
    </row>
    <row r="20">
      <c r="F20" t="str">
        <v>(15)-Cao cánh cửa sổ (tính kính)</v>
      </c>
      <c r="G20">
        <v>66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41</v>
      </c>
    </row>
    <row r="23">
      <c r="F23" t="str">
        <v>(18)-Cao cánh cửa trượt (tính cánh)</v>
      </c>
      <c r="G23">
        <v>71</v>
      </c>
    </row>
    <row r="24">
      <c r="F24" t="str">
        <v>(19)-Cao cánh cửa trượt (tính kính)</v>
      </c>
      <c r="G24">
        <v>60</v>
      </c>
    </row>
    <row r="25">
      <c r="F25" t="str">
        <v>(20)-Chiều dày hèm đối đầu cửa trượt</v>
      </c>
      <c r="G25">
        <v>1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0.97</v>
      </c>
    </row>
    <row r="28">
      <c r="F28" t="str">
        <v>Đố chia khung (kg/m)</v>
      </c>
      <c r="G28">
        <v>1.02</v>
      </c>
    </row>
    <row r="29">
      <c r="F29" t="str">
        <v>Cánh cửa sổ quay (kg/m)</v>
      </c>
      <c r="G29">
        <v>1.13</v>
      </c>
    </row>
    <row r="30">
      <c r="F30" t="str">
        <v>Cánh đi mở quay (kg/m)</v>
      </c>
      <c r="G30">
        <v>1.19</v>
      </c>
    </row>
    <row r="31">
      <c r="F31" t="str">
        <v>Đố cánh cửa đi (kg/m)</v>
      </c>
      <c r="G31">
        <v>1.12</v>
      </c>
    </row>
    <row r="32">
      <c r="F32" t="str">
        <v>Đố động (kg/m)</v>
      </c>
      <c r="G32">
        <v>0.85</v>
      </c>
    </row>
    <row r="33">
      <c r="F33" t="str">
        <v>Ốp đáy (kg/m)</v>
      </c>
      <c r="G33">
        <v>0.33</v>
      </c>
    </row>
    <row r="34">
      <c r="F34" t="str">
        <v>Nẹp vách (kg/m)</v>
      </c>
      <c r="G34">
        <v>0.36</v>
      </c>
    </row>
    <row r="35">
      <c r="F35" t="str">
        <v>Nối khung (kg/m)</v>
      </c>
      <c r="G35">
        <v>0.35</v>
      </c>
    </row>
    <row r="36">
      <c r="F36" t="str">
        <v>Khung cửa trượt (kg/m)</v>
      </c>
      <c r="G36">
        <v>1.01</v>
      </c>
    </row>
    <row r="37">
      <c r="F37" t="str">
        <v>Cánh cửa trượt (kg/m)</v>
      </c>
      <c r="G37">
        <v>0.87</v>
      </c>
    </row>
    <row r="38">
      <c r="F38" t="str">
        <v>Móc cánh cửa trượt (kg/m)</v>
      </c>
      <c r="G38">
        <v>0.36</v>
      </c>
    </row>
    <row r="39">
      <c r="F39" t="str">
        <v>Hèm đối đầu (kg/m)</v>
      </c>
      <c r="G39">
        <v>0.42</v>
      </c>
    </row>
    <row r="40"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lùa</v>
      </c>
      <c r="C46" t="str">
        <v>Ngang</v>
      </c>
      <c r="D46" t="str">
        <v>L60-501A</v>
      </c>
      <c r="E46" t="str">
        <v>45-45</v>
      </c>
      <c r="F46">
        <f>$C$10*J46</f>
        <v>2</v>
      </c>
      <c r="G46">
        <f>C5</f>
        <v>2200</v>
      </c>
      <c r="H46">
        <f>$G$36</f>
        <v>1.01</v>
      </c>
      <c r="I46">
        <f>F46*G46*H46/1000</f>
        <v>4.444</v>
      </c>
      <c r="J46">
        <v>2</v>
      </c>
    </row>
    <row r="47">
      <c r="B47" t="str">
        <v>Khung bao cửa lùa</v>
      </c>
      <c r="C47" t="str">
        <v>Đứng</v>
      </c>
      <c r="D47" t="str">
        <v>L60-501A</v>
      </c>
      <c r="E47" t="str">
        <v>45-45</v>
      </c>
      <c r="F47">
        <f>$C$10*J47</f>
        <v>2</v>
      </c>
      <c r="G47">
        <f>C8</f>
        <v>1300</v>
      </c>
      <c r="H47">
        <f>$G$36</f>
        <v>1.01</v>
      </c>
      <c r="I47">
        <f>F47*G47*H47/1000</f>
        <v>2.626</v>
      </c>
      <c r="J47">
        <v>2</v>
      </c>
    </row>
    <row r="48">
      <c r="B48" t="str">
        <v>Cánh cửa lùa</v>
      </c>
      <c r="C48" t="str">
        <v>Ngang</v>
      </c>
      <c r="D48" t="str">
        <v>L60-502A</v>
      </c>
      <c r="E48" t="str">
        <v>45-45</v>
      </c>
      <c r="F48">
        <f>$C$10*J48</f>
        <v>4</v>
      </c>
      <c r="G48">
        <f>(G46-G22*2+G11*2+G41*2+G23*2)/4</f>
        <v>569</v>
      </c>
      <c r="H48">
        <f>$G$37</f>
        <v>0.87</v>
      </c>
      <c r="I48">
        <f>F48*G48*H48/1000</f>
        <v>1.9801199999999999</v>
      </c>
      <c r="J48">
        <v>4</v>
      </c>
    </row>
    <row r="49">
      <c r="B49" t="str">
        <v>Cánh cửa lùa</v>
      </c>
      <c r="C49" t="str">
        <v>Ngang</v>
      </c>
      <c r="D49" t="str">
        <v>L60-502A</v>
      </c>
      <c r="E49" t="str">
        <v>45-45</v>
      </c>
      <c r="F49">
        <f>$C$10*J49</f>
        <v>2</v>
      </c>
      <c r="G49">
        <f>G48*2</f>
        <v>1138</v>
      </c>
      <c r="H49">
        <f>$G$37</f>
        <v>0.87</v>
      </c>
      <c r="I49">
        <f>F49*G49*H49/1000</f>
        <v>1.9801199999999999</v>
      </c>
      <c r="J49">
        <v>2</v>
      </c>
    </row>
    <row r="50">
      <c r="B50" t="str">
        <v>Cánh cửa lùa</v>
      </c>
      <c r="C50" t="str">
        <v>Đứng</v>
      </c>
      <c r="D50" t="str">
        <v>L60-502A</v>
      </c>
      <c r="E50" t="str">
        <v>45-45</v>
      </c>
      <c r="F50">
        <f>$C$10*J50</f>
        <v>6</v>
      </c>
      <c r="G50">
        <f>G47-G22*2+G11*2</f>
        <v>1234</v>
      </c>
      <c r="H50">
        <f>$G$37</f>
        <v>0.87</v>
      </c>
      <c r="I50">
        <f>F50*G50*H50/1000</f>
        <v>6.441479999999999</v>
      </c>
      <c r="J50">
        <v>6</v>
      </c>
    </row>
    <row r="51">
      <c r="B51" t="str">
        <v>Móc cánh cửa lùa</v>
      </c>
      <c r="C51" t="str">
        <v>Đứng</v>
      </c>
      <c r="D51" t="str">
        <v>L60-503B</v>
      </c>
      <c r="E51" t="str">
        <v>90-90</v>
      </c>
      <c r="F51">
        <f>$C$10*J51</f>
        <v>4</v>
      </c>
      <c r="G51">
        <f>G50</f>
        <v>1234</v>
      </c>
      <c r="H51">
        <f>$G$38</f>
        <v>0.36</v>
      </c>
      <c r="I51">
        <f>F51*G51*H51/1000</f>
        <v>1.77696</v>
      </c>
      <c r="J51">
        <v>4</v>
      </c>
    </row>
    <row r="52">
      <c r="B52" t="str">
        <v>I Nối khung</v>
      </c>
      <c r="C52" t="str">
        <v>Ngang</v>
      </c>
      <c r="D52" t="str">
        <v>ALU-55-IN</v>
      </c>
      <c r="E52" t="str">
        <v>90-90</v>
      </c>
      <c r="F52">
        <f>$C$10*J52</f>
        <v>2</v>
      </c>
      <c r="G52">
        <f>C5</f>
        <v>2200</v>
      </c>
      <c r="H52">
        <f>$G$35</f>
        <v>0.35</v>
      </c>
      <c r="I52">
        <f>F52*G52*H52/1000</f>
        <v>1.54</v>
      </c>
      <c r="J52">
        <v>2</v>
      </c>
    </row>
    <row r="53">
      <c r="B53" t="str">
        <v>Khung bao mở quay</v>
      </c>
      <c r="C53" t="str">
        <v>Ngang</v>
      </c>
      <c r="D53" t="str">
        <v>ALUX5501H</v>
      </c>
      <c r="E53" t="str">
        <v>45-45</v>
      </c>
      <c r="F53">
        <f>$C$10*J53</f>
        <v>4</v>
      </c>
      <c r="G53">
        <f>C5</f>
        <v>2200</v>
      </c>
      <c r="H53">
        <f>$G$27</f>
        <v>0.97</v>
      </c>
      <c r="I53">
        <f>F53*G53*H53/1000</f>
        <v>8.536</v>
      </c>
      <c r="J53">
        <v>4</v>
      </c>
    </row>
    <row r="54">
      <c r="B54" t="str">
        <v>Khung bao mở quay</v>
      </c>
      <c r="C54" t="str">
        <v>Đứng</v>
      </c>
      <c r="D54" t="str">
        <v>ALUX5501H</v>
      </c>
      <c r="E54" t="str">
        <v>45-45</v>
      </c>
      <c r="F54">
        <f>$C$10*J54</f>
        <v>2</v>
      </c>
      <c r="G54">
        <f>C6-C7-C8-G26</f>
        <v>448</v>
      </c>
      <c r="H54">
        <f>$G$27</f>
        <v>0.97</v>
      </c>
      <c r="I54">
        <f>F54*G54*H54/1000</f>
        <v>0.86912</v>
      </c>
      <c r="J54">
        <v>2</v>
      </c>
    </row>
    <row r="55">
      <c r="B55" t="str">
        <v>Khung bao mở quay</v>
      </c>
      <c r="C55" t="str">
        <v>Đứng</v>
      </c>
      <c r="D55" t="str">
        <v>ALUX5501H</v>
      </c>
      <c r="E55" t="str">
        <v>45-45</v>
      </c>
      <c r="F55">
        <f>$C$10*J55</f>
        <v>2</v>
      </c>
      <c r="G55">
        <f>C7-G26</f>
        <v>848</v>
      </c>
      <c r="H55">
        <f>$G$27</f>
        <v>0.97</v>
      </c>
      <c r="I55">
        <f>F55*G55*H55/1000</f>
        <v>1.64512</v>
      </c>
      <c r="J55">
        <v>2</v>
      </c>
    </row>
    <row r="56">
      <c r="B56" t="str">
        <v>Đố chia khung</v>
      </c>
      <c r="C56" t="str">
        <v>Đứng</v>
      </c>
      <c r="D56" t="str">
        <v>ALU-48</v>
      </c>
      <c r="E56" t="str">
        <v>90-90</v>
      </c>
      <c r="F56">
        <f>$C$10*J56</f>
        <v>2</v>
      </c>
      <c r="G56">
        <f>G54-G14*2</f>
        <v>396</v>
      </c>
      <c r="H56">
        <f>$G$28</f>
        <v>1.02</v>
      </c>
      <c r="I56">
        <f>F56*G56*H56/1000</f>
        <v>0.80784</v>
      </c>
      <c r="J56">
        <v>2</v>
      </c>
    </row>
    <row r="57">
      <c r="B57" t="str">
        <v>Đố chia khung</v>
      </c>
      <c r="C57" t="str">
        <v>Đứng</v>
      </c>
      <c r="D57" t="str">
        <v>ALU-48</v>
      </c>
      <c r="E57" t="str">
        <v>90-90</v>
      </c>
      <c r="F57">
        <f>$C$10*J57</f>
        <v>2</v>
      </c>
      <c r="G57">
        <f>G55-G14*2</f>
        <v>796</v>
      </c>
      <c r="H57">
        <f>$G$28</f>
        <v>1.02</v>
      </c>
      <c r="I57">
        <f>F57*G57*H57/1000</f>
        <v>1.62384</v>
      </c>
      <c r="J57">
        <v>2</v>
      </c>
    </row>
    <row r="58">
      <c r="B58" t="str">
        <v>Sập vách</v>
      </c>
      <c r="C58" t="str">
        <v>Ngang</v>
      </c>
      <c r="D58" t="str">
        <v>ALU-25</v>
      </c>
      <c r="E58" t="str">
        <v>90-90</v>
      </c>
      <c r="F58">
        <f>$C$10*J58</f>
        <v>8</v>
      </c>
      <c r="G58">
        <f>G48+G22-G11-G41-G23/2-G13-G15/2+(G13-G14)*2</f>
        <v>533.5</v>
      </c>
      <c r="H58">
        <f>$G$34</f>
        <v>0.36</v>
      </c>
      <c r="I58">
        <f>F58*G58*H58/1000</f>
        <v>1.53648</v>
      </c>
      <c r="J58">
        <v>8</v>
      </c>
    </row>
    <row r="59">
      <c r="B59" t="str">
        <v>Sập vách</v>
      </c>
      <c r="C59" t="str">
        <v>Ngang</v>
      </c>
      <c r="D59" t="str">
        <v>ALU-25</v>
      </c>
      <c r="E59" t="str">
        <v>90-90</v>
      </c>
      <c r="F59">
        <f>$C$10*J59</f>
        <v>4</v>
      </c>
      <c r="G59">
        <f>G53-(G48+G22-G11-G41-G23/2)*2-G15+(G13-G14)*2</f>
        <v>1053</v>
      </c>
      <c r="H59">
        <f>$G$34</f>
        <v>0.36</v>
      </c>
      <c r="I59">
        <f>F59*G59*H59/1000</f>
        <v>1.51632</v>
      </c>
      <c r="J59">
        <v>4</v>
      </c>
    </row>
    <row r="60">
      <c r="B60" t="str">
        <v>Sập vách</v>
      </c>
      <c r="C60" t="str">
        <v>Đứng</v>
      </c>
      <c r="D60" t="str">
        <v>ALU-25</v>
      </c>
      <c r="E60" t="str">
        <v>90-90</v>
      </c>
      <c r="F60">
        <f>$C$10*J60</f>
        <v>6</v>
      </c>
      <c r="G60">
        <f>G54-G13*2-G21*2</f>
        <v>336</v>
      </c>
      <c r="H60">
        <f>$G$34</f>
        <v>0.36</v>
      </c>
      <c r="I60">
        <f>F60*G60*H60/1000</f>
        <v>0.72576</v>
      </c>
      <c r="J60">
        <v>6</v>
      </c>
    </row>
    <row r="61">
      <c r="B61" t="str">
        <v>Sập vách</v>
      </c>
      <c r="C61" t="str">
        <v>Đứng</v>
      </c>
      <c r="D61" t="str">
        <v>ALU-25</v>
      </c>
      <c r="E61" t="str">
        <v>90-90</v>
      </c>
      <c r="F61">
        <f>$C$10*J61</f>
        <v>6</v>
      </c>
      <c r="G61">
        <f>G55-G13*2-G21*2</f>
        <v>736</v>
      </c>
      <c r="H61">
        <f>$G$34</f>
        <v>0.36</v>
      </c>
      <c r="I61">
        <f>F61*G61*H61/1000</f>
        <v>1.58976</v>
      </c>
      <c r="J61">
        <v>6</v>
      </c>
    </row>
    <row r="62">
      <c r="B62" t="str">
        <v>Khoảng cách B1=</v>
      </c>
      <c r="C62" t="str">
        <v>Mép khung</v>
      </c>
      <c r="D62" t="str">
        <v>Tính cho cánh đều nhau</v>
      </c>
      <c r="E62" t="str">
        <v>Tim đố</v>
      </c>
      <c r="F62">
        <v>0</v>
      </c>
      <c r="G62">
        <f>G48+G22-G11-G41-G23/2</f>
        <v>566.5</v>
      </c>
      <c r="J62">
        <v>0</v>
      </c>
    </row>
    <row r="65">
      <c r="B65" t="str">
        <v>KÍCH THƯỚC CẮT KÍNH</v>
      </c>
    </row>
    <row r="66">
      <c r="B66" t="str">
        <v>Tên kính</v>
      </c>
      <c r="C66" t="str">
        <v>Rộng</v>
      </c>
      <c r="D66" t="str">
        <v>Cao</v>
      </c>
      <c r="E66" t="str">
        <v>Số lượng</v>
      </c>
      <c r="F66" t="str">
        <v>Diện tích kính (m2)</v>
      </c>
      <c r="G66" t="str">
        <v>Vị trí</v>
      </c>
    </row>
    <row r="67">
      <c r="B67">
        <f>C9</f>
        <v>6</v>
      </c>
      <c r="C67">
        <f>G48-G24*2-G12</f>
        <v>440</v>
      </c>
      <c r="D67">
        <f>G50-G24*2-G12</f>
        <v>1105</v>
      </c>
      <c r="E67">
        <f>2*C10</f>
        <v>2</v>
      </c>
      <c r="F67">
        <f>E67*D67*C67/10^6</f>
        <v>0.9724</v>
      </c>
      <c r="G67" t="str">
        <v>cánh</v>
      </c>
    </row>
    <row r="68">
      <c r="B68">
        <f>C9</f>
        <v>6</v>
      </c>
      <c r="C68">
        <f>G49-G24*2-G12</f>
        <v>1009</v>
      </c>
      <c r="D68">
        <f>D67</f>
        <v>1105</v>
      </c>
      <c r="E68">
        <f>1*C10</f>
        <v>1</v>
      </c>
      <c r="F68">
        <f>E68*D68*C68/10^6</f>
        <v>1.114945</v>
      </c>
      <c r="G68" t="str">
        <v>cánh</v>
      </c>
    </row>
    <row r="69">
      <c r="B69">
        <f>C9</f>
        <v>6</v>
      </c>
      <c r="C69">
        <f>G48+G22-G11-G41-G23/2-G13-G15/2-G12</f>
        <v>502.5</v>
      </c>
      <c r="D69">
        <f>G54-G13*2-G12</f>
        <v>365</v>
      </c>
      <c r="E69">
        <f>2*C10</f>
        <v>2</v>
      </c>
      <c r="F69">
        <f>E69*D69*C69/10^6</f>
        <v>0.366825</v>
      </c>
      <c r="G69" t="str">
        <v>vách</v>
      </c>
    </row>
    <row r="70">
      <c r="B70">
        <f>C9</f>
        <v>6</v>
      </c>
      <c r="C70">
        <f>G53-(G48+G22-G11-G41-G23/2)*2-G15-G12</f>
        <v>1022</v>
      </c>
      <c r="D70">
        <f>G54-G13*2-G12</f>
        <v>365</v>
      </c>
      <c r="E70">
        <f>1*C10</f>
        <v>1</v>
      </c>
      <c r="F70">
        <f>E70*D70*C70/10^6</f>
        <v>0.37303</v>
      </c>
      <c r="G70" t="str">
        <v>vách</v>
      </c>
    </row>
    <row r="71">
      <c r="B71">
        <f>C9</f>
        <v>6</v>
      </c>
      <c r="C71">
        <f>C69</f>
        <v>502.5</v>
      </c>
      <c r="D71">
        <f>G55-G13*2-G12</f>
        <v>765</v>
      </c>
      <c r="E71">
        <f>2*C10</f>
        <v>2</v>
      </c>
      <c r="F71">
        <f>E71*D71*C71/10^6</f>
        <v>0.768825</v>
      </c>
      <c r="G71" t="str">
        <v>vách</v>
      </c>
    </row>
    <row r="72">
      <c r="B72">
        <f>C9</f>
        <v>6</v>
      </c>
      <c r="C72">
        <f>C70</f>
        <v>1022</v>
      </c>
      <c r="D72">
        <f>G55-G13*2-G12</f>
        <v>765</v>
      </c>
      <c r="E72">
        <f>1*C10</f>
        <v>1</v>
      </c>
      <c r="F72">
        <f>E72*D72*C72/10^6</f>
        <v>0.78183</v>
      </c>
      <c r="G72" t="str">
        <v>vách</v>
      </c>
    </row>
    <row r="75">
      <c r="B75" t="str">
        <v>PHỤ KIỆN</v>
      </c>
      <c r="C75" t="str">
        <v>Trượt 3 cánh</v>
      </c>
    </row>
    <row r="76">
      <c r="B76" t="str">
        <v>Tên</v>
      </c>
      <c r="C76" t="str">
        <v>Mã</v>
      </c>
      <c r="D76" t="str">
        <v>ĐVT</v>
      </c>
      <c r="E76" t="str">
        <v>Số lượng</v>
      </c>
    </row>
    <row r="77">
      <c r="B77" t="str">
        <v>Con lăn cửa sổ trượt ALE</v>
      </c>
      <c r="C77" t="str">
        <v>ALE-TCL</v>
      </c>
      <c r="D77" t="str">
        <v>Chiếc</v>
      </c>
      <c r="E77">
        <f>H77*$H$5</f>
        <v>6</v>
      </c>
      <c r="H77">
        <v>6</v>
      </c>
    </row>
    <row r="78">
      <c r="B78" t="str">
        <v>Khóa sò ALE</v>
      </c>
      <c r="C78" t="str">
        <v>ALE-TKS</v>
      </c>
      <c r="D78" t="str">
        <v>Chiếc</v>
      </c>
      <c r="E78">
        <f>H78*$H$5</f>
        <v>2</v>
      </c>
      <c r="H78">
        <v>2</v>
      </c>
    </row>
    <row r="79">
      <c r="B79" t="str">
        <v>Chống va cửa trượt ALE</v>
      </c>
      <c r="C79" t="str">
        <v>ALE-TCV</v>
      </c>
      <c r="D79" t="str">
        <v>Chiếc</v>
      </c>
      <c r="E79">
        <f>H79*$H$5</f>
        <v>4</v>
      </c>
      <c r="H79">
        <v>4</v>
      </c>
    </row>
    <row r="80">
      <c r="B80" t="str">
        <v>Chống nhấc cửa trượt ALE</v>
      </c>
      <c r="C80" t="str">
        <v>ALE-TCN</v>
      </c>
      <c r="D80" t="str">
        <v>Chiếc</v>
      </c>
      <c r="E80">
        <f>H80*$H$5</f>
        <v>2</v>
      </c>
      <c r="H80">
        <v>2</v>
      </c>
    </row>
    <row r="81">
      <c r="B81" t="str">
        <v>Ke nhảy khung mở trượt ALE</v>
      </c>
      <c r="C81" t="str">
        <v>ALE-TKNK</v>
      </c>
      <c r="D81" t="str">
        <v>Chiếc</v>
      </c>
      <c r="E81">
        <f>H81*$H$5</f>
        <v>4</v>
      </c>
      <c r="H81">
        <v>4</v>
      </c>
    </row>
    <row r="82">
      <c r="B82" t="str">
        <v>ke nhảy cánh sổ trượt ALE</v>
      </c>
      <c r="C82" t="str">
        <v>ALE-TKNC</v>
      </c>
      <c r="D82" t="str">
        <v>Chiếc</v>
      </c>
      <c r="E82">
        <f>H82*$H$5</f>
        <v>12</v>
      </c>
      <c r="H82">
        <v>12</v>
      </c>
    </row>
    <row r="83">
      <c r="B83" t="str">
        <v>Ke nhảy khung mở quay ALE</v>
      </c>
      <c r="C83" t="str">
        <v>ALE-KNK</v>
      </c>
      <c r="D83" t="str">
        <v>Chiếc</v>
      </c>
      <c r="E83">
        <f>H83*$H$5</f>
        <v>8</v>
      </c>
      <c r="H83">
        <v>8</v>
      </c>
    </row>
    <row r="86">
      <c r="B86" t="str">
        <v>BẢNG TÍNH GIÁ THÀNH</v>
      </c>
    </row>
    <row r="87">
      <c r="B87" t="str">
        <v>Tên gọi</v>
      </c>
      <c r="C87" t="str">
        <v>Đơn vị tính</v>
      </c>
      <c r="D87" t="str">
        <v>Số lượng</v>
      </c>
      <c r="E87" t="str">
        <v>Đơn giá</v>
      </c>
      <c r="F87" t="str">
        <v>Thành tiền</v>
      </c>
    </row>
    <row r="88">
      <c r="B88" t="str">
        <v>Nhôm (VNĐ)</v>
      </c>
      <c r="C88" t="str">
        <v>Kg</v>
      </c>
      <c r="D88">
        <f>SUM(I46:I61)</f>
        <v>39.63891999999999</v>
      </c>
      <c r="E88">
        <f>C11</f>
        <v>90000</v>
      </c>
      <c r="F88">
        <f>E88*D88</f>
        <v>3567502.7999999993</v>
      </c>
    </row>
    <row r="89">
      <c r="B89" t="str">
        <v>Kính (VNĐ)</v>
      </c>
      <c r="C89" t="str">
        <v>m2</v>
      </c>
      <c r="D89">
        <f>SUM(F67:F72)</f>
        <v>4.377855</v>
      </c>
      <c r="E89">
        <f>C12</f>
        <v>245000</v>
      </c>
      <c r="F89">
        <f>E89*D89</f>
        <v>1072574.475</v>
      </c>
    </row>
    <row r="90">
      <c r="B90" t="str">
        <v>Phụ Kiện (tự nhập) (VNĐ)</v>
      </c>
    </row>
    <row r="91">
      <c r="B91" t="str">
        <v>Vật Tư Phụ (tự nhập) (VNĐ)</v>
      </c>
    </row>
    <row r="92">
      <c r="B92" t="str">
        <v>Công Sản Xuất + Lắp Đặt (VNĐ)</v>
      </c>
    </row>
    <row r="93">
      <c r="B93" t="str">
        <v>Tổng (chưa tính hao hụt nhôm)</v>
      </c>
      <c r="F93">
        <f>SUM(F88:F92)</f>
        <v>4640077.274999999</v>
      </c>
    </row>
  </sheetData>
  <mergeCells count="1">
    <mergeCell ref="B2:G2"/>
  </mergeCells>
  <pageMargins left="0.7" right="0.7" top="0.75" bottom="0.75" header="0.3" footer="0.3"/>
  <ignoredErrors>
    <ignoredError numberStoredAsText="1" sqref="A1:J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B65</v>
      </c>
      <c r="D2" t="str">
        <v>B75</v>
      </c>
      <c r="E2" t="str">
        <v>B86</v>
      </c>
    </row>
    <row r="3">
      <c r="A3" t="str">
        <v>C12</v>
      </c>
      <c r="B3" t="str">
        <v>G62</v>
      </c>
      <c r="C3" t="str">
        <v>G72</v>
      </c>
      <c r="D3" t="str">
        <v>E83</v>
      </c>
      <c r="E3" t="str">
        <v>F93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2024-07-26T15:23:24Z</dcterms:modified>
  <cp:lastModifiedBy>ACER</cp:lastModifiedBy>
  <cp:lastPrinted>2014-12-05T03:23:20Z</cp:lastPrinted>
  <dc:creator>Windows User</dc:creator>
</cp:coreProperties>
</file>