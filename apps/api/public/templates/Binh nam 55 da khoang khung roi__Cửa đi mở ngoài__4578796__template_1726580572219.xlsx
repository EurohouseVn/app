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DMQ2C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  <numFmt numFmtId="166" formatCode="&quot;H2=&quot;0"/>
    <numFmt numFmtId="167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workbookViewId="0" rightToLeft="0"/>
  </sheetViews>
  <sheetData>
    <row r="2">
      <c r="B2" t="str">
        <v>BẢN VẼ SẢN XUẤT P58OVN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D1</v>
      </c>
      <c r="F4" t="str">
        <v>Giá nhôm (VNĐ/Kg)</v>
      </c>
      <c r="G4">
        <v>90000</v>
      </c>
      <c r="H4" t="str">
        <v>Cửa đi mở quay 2 cánh + Vách</v>
      </c>
    </row>
    <row r="5">
      <c r="B5" t="str">
        <v>Rộng Cửa (B) (mm)</v>
      </c>
      <c r="C5">
        <v>2650</v>
      </c>
      <c r="F5" t="str">
        <v>Giá kính (VNĐ/m2)</v>
      </c>
      <c r="G5">
        <v>245000</v>
      </c>
      <c r="H5">
        <f>C11</f>
        <v>1</v>
      </c>
      <c r="I5">
        <f>C14</f>
        <v>6.89</v>
      </c>
    </row>
    <row r="6">
      <c r="B6" t="str">
        <v>Cao Cửa (H) (mm)</v>
      </c>
      <c r="C6">
        <v>2600</v>
      </c>
      <c r="F6" t="str">
        <v>(1)-Cánh ĐI ngậm khung</v>
      </c>
      <c r="G6">
        <v>7</v>
      </c>
    </row>
    <row r="7">
      <c r="B7" t="str">
        <v>B1 (mm)</v>
      </c>
      <c r="C7">
        <v>1800</v>
      </c>
      <c r="F7" t="str">
        <v>(2)-Cánh SỔ ngậm khung</v>
      </c>
      <c r="G7">
        <v>7</v>
      </c>
    </row>
    <row r="8">
      <c r="B8" t="str">
        <v>H1 (mm)</v>
      </c>
      <c r="C8">
        <v>2250</v>
      </c>
      <c r="F8" t="str">
        <v>(3)-Hở giữa cửa ĐI 2 (4) cánh</v>
      </c>
      <c r="G8">
        <v>5</v>
      </c>
    </row>
    <row r="9">
      <c r="B9" t="str">
        <v>Hở chân cánh (mm)</v>
      </c>
      <c r="C9">
        <v>7</v>
      </c>
      <c r="F9" t="str">
        <v>(4)-Hở cánh cửa ĐI 4 cánh</v>
      </c>
      <c r="G9">
        <v>5</v>
      </c>
    </row>
    <row r="10">
      <c r="B10" t="str">
        <v>Loại kính</v>
      </c>
      <c r="C10">
        <v>6</v>
      </c>
      <c r="F10" t="str">
        <v>(5)-Hở giữa cửa SỔ 2 cánh</v>
      </c>
      <c r="G10">
        <v>5</v>
      </c>
    </row>
    <row r="11">
      <c r="B11" t="str">
        <v>Số bộ</v>
      </c>
      <c r="C11">
        <v>1</v>
      </c>
      <c r="D11">
        <f>C6-C8</f>
        <v>350</v>
      </c>
      <c r="F11" t="str">
        <v>(6)-Cánh TRƯỢT ngậm khung</v>
      </c>
      <c r="G11">
        <v>5</v>
      </c>
    </row>
    <row r="12">
      <c r="B12" t="str">
        <v>Giá nhôm (VNĐ/Kg)</v>
      </c>
      <c r="C12">
        <v>105000</v>
      </c>
      <c r="F12" t="str">
        <v>(7)-Khe hở kính</v>
      </c>
      <c r="G12">
        <v>10</v>
      </c>
    </row>
    <row r="13">
      <c r="B13" t="str">
        <v>Giá kính (VNĐ/m2)</v>
      </c>
      <c r="C13">
        <v>245000</v>
      </c>
      <c r="F13" t="str">
        <v>(8)-Cao khung ĐI quay (tính cánh)</v>
      </c>
      <c r="G13">
        <v>46</v>
      </c>
    </row>
    <row r="14">
      <c r="B14" t="str">
        <v>Diện tích/bộ</v>
      </c>
      <c r="C14">
        <f>C5*C6/10^6</f>
        <v>6.89</v>
      </c>
      <c r="F14" t="str">
        <v>(9)-Cao khung ĐI quay (tính đố)</v>
      </c>
      <c r="G14">
        <v>34</v>
      </c>
    </row>
    <row r="15">
      <c r="B15" t="str">
        <v>Tổng diện tích</v>
      </c>
      <c r="C15">
        <f>C14*C11</f>
        <v>6.89</v>
      </c>
      <c r="F15" t="str">
        <v>(8.1)-Cao khung SỔ quay (tính cánh)</v>
      </c>
      <c r="G15">
        <v>38</v>
      </c>
    </row>
    <row r="16">
      <c r="F16" t="str">
        <v>(9.1)-Cao khung SỔ quay (tính đố)</v>
      </c>
      <c r="G16">
        <v>26</v>
      </c>
    </row>
    <row r="17">
      <c r="F17" t="str">
        <v>(10)-Cao đố chia vách (tính cánh)</v>
      </c>
      <c r="G17">
        <v>38</v>
      </c>
    </row>
    <row r="18">
      <c r="F18" t="str">
        <v>(11)-Cao đố chia vách (tính đố)</v>
      </c>
      <c r="G18">
        <v>14</v>
      </c>
    </row>
    <row r="19">
      <c r="F19" t="str">
        <v>(12)-Cao cánh ĐI quay (tính kính, nẹp)</v>
      </c>
      <c r="G19">
        <v>68</v>
      </c>
    </row>
    <row r="20">
      <c r="F20" t="str">
        <v>(13)-Cao cánh ĐI quay (tính đố cánh)</v>
      </c>
      <c r="G20">
        <v>63</v>
      </c>
    </row>
    <row r="21">
      <c r="F21" t="str">
        <v>(14)-Cao đố cánh ĐI quay</v>
      </c>
      <c r="G21">
        <v>30</v>
      </c>
    </row>
    <row r="22">
      <c r="F22" t="str">
        <v>(15)-Cao cánh SỔ quay (tính kính)</v>
      </c>
      <c r="G22">
        <v>62</v>
      </c>
    </row>
    <row r="23">
      <c r="F23" t="str">
        <v>(16)-Cao nẹp (tính nẹp vách, cánh)</v>
      </c>
      <c r="G23">
        <v>20</v>
      </c>
      <c r="H23">
        <v>26</v>
      </c>
    </row>
    <row r="24">
      <c r="F24" t="str">
        <v>(17)-Cao khung TRƯỢT</v>
      </c>
      <c r="G24">
        <v>0</v>
      </c>
    </row>
    <row r="25">
      <c r="F25" t="str">
        <v>(18)-Cao cánh TRƯỢT (tính cánh)</v>
      </c>
      <c r="G25">
        <v>0</v>
      </c>
    </row>
    <row r="26">
      <c r="F26" t="str">
        <v>(19)-Cao cánh TRƯỢT (tính kính)</v>
      </c>
      <c r="G26">
        <v>0</v>
      </c>
    </row>
    <row r="27">
      <c r="F27" t="str">
        <v>(20)-Dày hèm đối đầu TRƯỢT 4 cánh</v>
      </c>
      <c r="G27">
        <v>0</v>
      </c>
    </row>
    <row r="28">
      <c r="F28" t="str">
        <v>(21)-Dày thanh nối khung</v>
      </c>
      <c r="G28">
        <v>2</v>
      </c>
    </row>
    <row r="29">
      <c r="F29" t="str">
        <v>(22)-Tính đố động = Cánh trừ</v>
      </c>
      <c r="G29">
        <v>32</v>
      </c>
    </row>
    <row r="30">
      <c r="F30" t="str">
        <v>(23)-Tính ốp chân = Cánh trừ</v>
      </c>
      <c r="G30">
        <v>32</v>
      </c>
    </row>
    <row r="31">
      <c r="F31" t="str">
        <v>Ốp chân cánh cửa đi (kg/m)</v>
      </c>
      <c r="G31">
        <v>0.597</v>
      </c>
      <c r="H31" t="str">
        <v>(22)-Cao gân cánh ĐI 55 (tính kính)</v>
      </c>
      <c r="I31">
        <v>0</v>
      </c>
    </row>
    <row r="32">
      <c r="F32" t="str">
        <v>Khung cửa ĐI quay (kg/m)</v>
      </c>
      <c r="G32">
        <v>1.053</v>
      </c>
      <c r="H32" t="str">
        <v>nep canh</v>
      </c>
      <c r="I32">
        <v>0.273</v>
      </c>
    </row>
    <row r="33">
      <c r="F33" t="str">
        <v>Khung cửa SỔ quay (kg/m)</v>
      </c>
      <c r="G33">
        <v>0.836</v>
      </c>
      <c r="H33" t="str">
        <v>nep vach</v>
      </c>
      <c r="I33">
        <v>0.383</v>
      </c>
    </row>
    <row r="34">
      <c r="F34" t="str">
        <v>Đố chia khung (kg/m)</v>
      </c>
      <c r="G34">
        <v>1.105</v>
      </c>
      <c r="H34" t="str">
        <v>cong nep ngang</v>
      </c>
      <c r="I34">
        <v>24</v>
      </c>
    </row>
    <row r="35">
      <c r="F35" t="str">
        <v>Cánh cửa SỔ quay (kg/m)</v>
      </c>
      <c r="G35">
        <v>1.044</v>
      </c>
    </row>
    <row r="36">
      <c r="F36" t="str">
        <v>Cánh cửa ĐI (kg/m)</v>
      </c>
      <c r="G36">
        <v>1.273</v>
      </c>
    </row>
    <row r="37">
      <c r="F37" t="str">
        <v>Đố cánh cửa ĐI (kg/m)</v>
      </c>
      <c r="G37">
        <v>1</v>
      </c>
    </row>
    <row r="38">
      <c r="F38" t="str">
        <v>Đố động (kg/m)</v>
      </c>
      <c r="G38">
        <v>0.943</v>
      </c>
    </row>
    <row r="39">
      <c r="F39" t="str">
        <v>Khung cửa TRƯỢT (kg/m)</v>
      </c>
      <c r="G39">
        <v>0</v>
      </c>
    </row>
    <row r="40">
      <c r="F40" t="str">
        <v>Cánh cửa TRƯỢT (kg/m)</v>
      </c>
      <c r="G40">
        <v>0</v>
      </c>
    </row>
    <row r="41">
      <c r="F41" t="str">
        <v>Móc cánh TRƯỢT (kg/m)</v>
      </c>
      <c r="G41">
        <v>0</v>
      </c>
    </row>
    <row r="42">
      <c r="F42" t="str">
        <v>Nối khung (kg/m)</v>
      </c>
      <c r="G42">
        <v>0.392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bao mở quay 1.4</v>
      </c>
      <c r="C46" t="str">
        <v>Ngang trên</v>
      </c>
      <c r="D46" t="str">
        <v>RK201M</v>
      </c>
      <c r="E46" t="str">
        <v>45-45</v>
      </c>
      <c r="F46">
        <f>$C$11*J46</f>
        <v>1</v>
      </c>
      <c r="G46">
        <f>C7</f>
        <v>1800</v>
      </c>
      <c r="H46">
        <f>$G$33</f>
        <v>0.836</v>
      </c>
      <c r="I46">
        <f>F46*G46*H46/1000</f>
        <v>1.5048</v>
      </c>
      <c r="J46">
        <v>1</v>
      </c>
    </row>
    <row r="47">
      <c r="B47" t="str">
        <v>Khung bao mở quay 1.4</v>
      </c>
      <c r="C47" t="str">
        <v>Đứng</v>
      </c>
      <c r="D47" t="str">
        <v>RK201M</v>
      </c>
      <c r="E47" t="str">
        <v>90-45-90</v>
      </c>
      <c r="F47">
        <f>$C$11*J47</f>
        <v>2</v>
      </c>
      <c r="G47">
        <f>C8</f>
        <v>2250</v>
      </c>
      <c r="H47">
        <f>$G$33</f>
        <v>0.836</v>
      </c>
      <c r="I47">
        <f>F47*G47*H47/1000</f>
        <v>3.762</v>
      </c>
      <c r="J47">
        <v>2</v>
      </c>
    </row>
    <row r="48">
      <c r="B48" t="str">
        <v>Cánh đi mở ngoài 1.4</v>
      </c>
      <c r="C48" t="str">
        <v>Ngang</v>
      </c>
      <c r="D48" t="str">
        <v>RK202M</v>
      </c>
      <c r="E48" t="str">
        <v>45-45</v>
      </c>
      <c r="F48">
        <f>$C$11*J48</f>
        <v>4</v>
      </c>
      <c r="G48">
        <f>G46/2-G13+G6-G8/2</f>
        <v>858.5</v>
      </c>
      <c r="H48">
        <f>$G$36</f>
        <v>1.273</v>
      </c>
      <c r="I48">
        <f>F48*G48*H48/1000</f>
        <v>4.371482</v>
      </c>
      <c r="J48">
        <v>4</v>
      </c>
    </row>
    <row r="49">
      <c r="B49" t="str">
        <v>Cánh đi mở ngoài 1.4</v>
      </c>
      <c r="C49" t="str">
        <v>Đứng</v>
      </c>
      <c r="D49" t="str">
        <v>RK202M</v>
      </c>
      <c r="E49" t="str">
        <v>45-45</v>
      </c>
      <c r="F49">
        <f>$C$11*J49</f>
        <v>4</v>
      </c>
      <c r="G49">
        <f>G47-G13+G6-C9</f>
        <v>2204</v>
      </c>
      <c r="H49">
        <f>$G$36</f>
        <v>1.273</v>
      </c>
      <c r="I49">
        <f>F49*G49*H49/1000</f>
        <v>11.222768</v>
      </c>
      <c r="J49">
        <v>4</v>
      </c>
    </row>
    <row r="50">
      <c r="B50" t="str">
        <v>Sập cánh kính thường</v>
      </c>
      <c r="C50" t="str">
        <v>Ngang</v>
      </c>
      <c r="D50" t="str">
        <v>R207</v>
      </c>
      <c r="E50" t="str">
        <v>90-90</v>
      </c>
      <c r="F50">
        <f>$C$11*J50</f>
        <v>4</v>
      </c>
      <c r="G50">
        <f>G48-G19*2</f>
        <v>722.5</v>
      </c>
      <c r="H50">
        <f>$I$32</f>
        <v>0.273</v>
      </c>
      <c r="I50">
        <f>F50*G50*H50/1000</f>
        <v>0.7889700000000001</v>
      </c>
      <c r="J50">
        <v>4</v>
      </c>
    </row>
    <row r="51">
      <c r="B51" t="str">
        <v>Sập cánh kính thường</v>
      </c>
      <c r="C51" t="str">
        <v>Đứng</v>
      </c>
      <c r="D51" t="str">
        <v>R207</v>
      </c>
      <c r="E51" t="str">
        <v>90-90</v>
      </c>
      <c r="F51">
        <f>$C$11*J51</f>
        <v>4</v>
      </c>
      <c r="G51">
        <f>G49-G19*2-G23*2</f>
        <v>2028</v>
      </c>
      <c r="H51">
        <f>$I$32</f>
        <v>0.273</v>
      </c>
      <c r="I51">
        <f>F51*G51*H51/1000</f>
        <v>2.214576</v>
      </c>
      <c r="J51">
        <v>4</v>
      </c>
    </row>
    <row r="52">
      <c r="B52" t="str">
        <v>Ốp chân cửa đi</v>
      </c>
      <c r="C52" t="str">
        <v>Ngang</v>
      </c>
      <c r="D52" t="str">
        <v>22900</v>
      </c>
      <c r="E52" t="str">
        <v>90-90</v>
      </c>
      <c r="F52">
        <f>$C$11*J52</f>
        <v>2</v>
      </c>
      <c r="G52">
        <f>G48-G30*2</f>
        <v>794.5</v>
      </c>
      <c r="H52">
        <f>$G$31</f>
        <v>0.597</v>
      </c>
      <c r="I52">
        <f>F52*G52*H52/1000</f>
        <v>0.948633</v>
      </c>
      <c r="J52">
        <v>2</v>
      </c>
    </row>
    <row r="53">
      <c r="B53" t="str">
        <v>Đố động dùng chung</v>
      </c>
      <c r="C53" t="str">
        <v>Đứng</v>
      </c>
      <c r="D53" t="str">
        <v>M3323C-1.2</v>
      </c>
      <c r="E53" t="str">
        <v>90-90</v>
      </c>
      <c r="F53">
        <f>$C$11*J53</f>
        <v>1</v>
      </c>
      <c r="G53">
        <f>G49-G29</f>
        <v>2172</v>
      </c>
      <c r="H53">
        <f>$G$38</f>
        <v>0.943</v>
      </c>
      <c r="I53">
        <f>F53*G53*H53/1000</f>
        <v>2.048196</v>
      </c>
      <c r="J53">
        <v>1</v>
      </c>
    </row>
    <row r="54">
      <c r="B54" t="str">
        <v>Nối khung</v>
      </c>
      <c r="C54" t="str">
        <v>Đứng</v>
      </c>
      <c r="D54" t="str">
        <v>D3300</v>
      </c>
      <c r="E54" t="str">
        <v>90-90</v>
      </c>
      <c r="F54">
        <f>$C$11*J54</f>
        <v>2</v>
      </c>
      <c r="G54">
        <f>C6</f>
        <v>2600</v>
      </c>
      <c r="H54">
        <f>$G$42</f>
        <v>0.392</v>
      </c>
      <c r="I54">
        <f>F54*G54*H54/1000</f>
        <v>2.0384</v>
      </c>
      <c r="J54">
        <v>2</v>
      </c>
    </row>
    <row r="55">
      <c r="B55" t="str">
        <v>Khung bao mở quay 1.4</v>
      </c>
      <c r="C55" t="str">
        <v>Ngang</v>
      </c>
      <c r="D55" t="str">
        <v>RK201M</v>
      </c>
      <c r="E55" t="str">
        <v>45-45</v>
      </c>
      <c r="F55">
        <f>$C$11*J55</f>
        <v>4</v>
      </c>
      <c r="G55">
        <f>(C5-C7)/2-G28</f>
        <v>423</v>
      </c>
      <c r="H55">
        <f>$G$33</f>
        <v>0.836</v>
      </c>
      <c r="I55">
        <f>F55*G55*H55/1000</f>
        <v>1.414512</v>
      </c>
      <c r="J55">
        <v>4</v>
      </c>
    </row>
    <row r="56">
      <c r="B56" t="str">
        <v>Khung bao mở quay 1.4</v>
      </c>
      <c r="C56" t="str">
        <v>Đứng</v>
      </c>
      <c r="D56" t="str">
        <v>RK201M</v>
      </c>
      <c r="E56" t="str">
        <v>45-45</v>
      </c>
      <c r="F56">
        <f>$C$11*J56</f>
        <v>4</v>
      </c>
      <c r="G56">
        <f>C6</f>
        <v>2600</v>
      </c>
      <c r="H56">
        <f>$G$33</f>
        <v>0.836</v>
      </c>
      <c r="I56">
        <f>F56*G56*H56/1000</f>
        <v>8.6944</v>
      </c>
      <c r="J56">
        <v>4</v>
      </c>
    </row>
    <row r="57">
      <c r="B57" t="str">
        <v>Đố chia khung</v>
      </c>
      <c r="C57" t="str">
        <v>Đứng</v>
      </c>
      <c r="D57" t="str">
        <v>R112</v>
      </c>
      <c r="E57" t="str">
        <v>90-90</v>
      </c>
      <c r="F57">
        <f>$C$11*J57</f>
        <v>2</v>
      </c>
      <c r="G57">
        <f>G55-G16*2</f>
        <v>371</v>
      </c>
      <c r="H57">
        <f>$G$34</f>
        <v>1.105</v>
      </c>
      <c r="I57">
        <f>F57*G57*H57/1000</f>
        <v>0.8199099999999999</v>
      </c>
      <c r="J57">
        <v>2</v>
      </c>
    </row>
    <row r="58">
      <c r="B58" t="str">
        <v>Sập vách liền khung</v>
      </c>
      <c r="C58" t="str">
        <v>Ngang</v>
      </c>
      <c r="D58" t="str">
        <v>R118</v>
      </c>
      <c r="E58" t="str">
        <v>90-90</v>
      </c>
      <c r="F58">
        <f>$C$11*J58</f>
        <v>8</v>
      </c>
      <c r="G58">
        <f>G55-G15*2+I34</f>
        <v>371</v>
      </c>
      <c r="H58">
        <f>$I$33</f>
        <v>0.383</v>
      </c>
      <c r="I58">
        <f>F58*G58*H58/1000</f>
        <v>1.136744</v>
      </c>
      <c r="J58">
        <v>8</v>
      </c>
    </row>
    <row r="59">
      <c r="B59" t="str">
        <v>Sập vách liền khung</v>
      </c>
      <c r="C59" t="str">
        <v>Đứng</v>
      </c>
      <c r="D59" t="str">
        <v>R118</v>
      </c>
      <c r="E59" t="str">
        <v>90-90</v>
      </c>
      <c r="F59">
        <f>$C$11*J59</f>
        <v>4</v>
      </c>
      <c r="G59">
        <f>G56-C8-G15-G17/2-G23*2</f>
        <v>253</v>
      </c>
      <c r="H59">
        <f>$I$33</f>
        <v>0.383</v>
      </c>
      <c r="I59">
        <f>F59*G59*H59/1000</f>
        <v>0.387596</v>
      </c>
      <c r="J59">
        <v>4</v>
      </c>
    </row>
    <row r="60">
      <c r="B60" t="str">
        <v>Sập vách liền khung</v>
      </c>
      <c r="C60" t="str">
        <v>Đứng</v>
      </c>
      <c r="D60" t="str">
        <v>R118</v>
      </c>
      <c r="E60" t="str">
        <v>90-90</v>
      </c>
      <c r="F60">
        <f>$C$11*J60</f>
        <v>4</v>
      </c>
      <c r="G60">
        <f>C8-G15-G17/2-G23*2</f>
        <v>2153</v>
      </c>
      <c r="H60">
        <f>$I$33</f>
        <v>0.383</v>
      </c>
      <c r="I60">
        <f>F60*G60*H60/1000</f>
        <v>3.2983960000000003</v>
      </c>
      <c r="J60">
        <v>4</v>
      </c>
    </row>
    <row r="61">
      <c r="B61" t="str">
        <v>Nối khung</v>
      </c>
      <c r="C61" t="str">
        <v>Ngang</v>
      </c>
      <c r="D61" t="str">
        <v>D3300</v>
      </c>
      <c r="E61" t="str">
        <v>90-90</v>
      </c>
      <c r="F61">
        <f>$C$11*J61</f>
        <v>1</v>
      </c>
      <c r="G61">
        <f>C7</f>
        <v>1800</v>
      </c>
      <c r="H61">
        <f>$G$42</f>
        <v>0.392</v>
      </c>
      <c r="I61">
        <f>F61*G61*H61/1000</f>
        <v>0.7056</v>
      </c>
      <c r="J61">
        <v>1</v>
      </c>
    </row>
    <row r="62">
      <c r="B62" t="str">
        <v>Khung bao mở quay 1.4</v>
      </c>
      <c r="C62" t="str">
        <v>Ngang</v>
      </c>
      <c r="D62" t="str">
        <v>RK201M</v>
      </c>
      <c r="E62" t="str">
        <v>45-45</v>
      </c>
      <c r="F62">
        <f>$C$11*J62</f>
        <v>2</v>
      </c>
      <c r="G62">
        <f>G46</f>
        <v>1800</v>
      </c>
      <c r="H62">
        <f>$G$33</f>
        <v>0.836</v>
      </c>
      <c r="I62">
        <f>F62*G62*H62/1000</f>
        <v>3.0096</v>
      </c>
      <c r="J62">
        <v>2</v>
      </c>
    </row>
    <row r="63">
      <c r="B63" t="str">
        <v>Khung bao mở quay 1.4</v>
      </c>
      <c r="C63" t="str">
        <v>Đứng</v>
      </c>
      <c r="D63" t="str">
        <v>RK201M</v>
      </c>
      <c r="E63" t="str">
        <v>45-45</v>
      </c>
      <c r="F63">
        <f>$C$11*J63</f>
        <v>2</v>
      </c>
      <c r="G63">
        <f>D11-G28</f>
        <v>348</v>
      </c>
      <c r="H63">
        <f>$G$33</f>
        <v>0.836</v>
      </c>
      <c r="I63">
        <f>F63*G63*H63/1000</f>
        <v>0.581856</v>
      </c>
      <c r="J63">
        <v>2</v>
      </c>
    </row>
    <row r="64">
      <c r="B64" t="str">
        <v>Sập vách liền khung</v>
      </c>
      <c r="C64" t="str">
        <v>Ngang</v>
      </c>
      <c r="D64" t="str">
        <v>R118</v>
      </c>
      <c r="E64" t="str">
        <v>90-90</v>
      </c>
      <c r="F64">
        <f>$C$11*J64</f>
        <v>2</v>
      </c>
      <c r="G64">
        <f>G62-G15*2+I34</f>
        <v>1748</v>
      </c>
      <c r="H64">
        <f>$I$33</f>
        <v>0.383</v>
      </c>
      <c r="I64">
        <f>F64*G64*H64/1000</f>
        <v>1.3389680000000002</v>
      </c>
      <c r="J64">
        <v>2</v>
      </c>
    </row>
    <row r="65">
      <c r="B65" t="str">
        <v>Sập vách liền khung</v>
      </c>
      <c r="C65" t="str">
        <v>Đứng</v>
      </c>
      <c r="D65" t="str">
        <v>R118</v>
      </c>
      <c r="E65" t="str">
        <v>90-90</v>
      </c>
      <c r="F65">
        <f>$C$11*J65</f>
        <v>2</v>
      </c>
      <c r="G65">
        <f>G63-G15*2-G23*2</f>
        <v>232</v>
      </c>
      <c r="H65">
        <f>$I$33</f>
        <v>0.383</v>
      </c>
      <c r="I65">
        <f>F65*G65*H65/1000</f>
        <v>0.17771199999999998</v>
      </c>
      <c r="J65">
        <v>2</v>
      </c>
    </row>
    <row r="66">
      <c r="B66" t="str">
        <v>KÍCH THƯỚC CẮT KÍNH</v>
      </c>
    </row>
    <row r="67">
      <c r="B67" t="str">
        <v>Tên kính</v>
      </c>
      <c r="C67" t="str">
        <v>Rộng</v>
      </c>
      <c r="D67" t="str">
        <v>Cao</v>
      </c>
      <c r="E67" t="str">
        <v>Số lượng</v>
      </c>
      <c r="F67" t="str">
        <v>Diện tích kính (m2)</v>
      </c>
      <c r="G67" t="str">
        <v>Vị trí</v>
      </c>
    </row>
    <row r="68">
      <c r="B68">
        <f>C10</f>
        <v>6</v>
      </c>
      <c r="C68">
        <f>G48-G19*2-I31*2-G12</f>
        <v>712.5</v>
      </c>
      <c r="D68">
        <f>G49-G19*2-I31*2-G12</f>
        <v>2058</v>
      </c>
      <c r="E68">
        <f>2*C11</f>
        <v>2</v>
      </c>
      <c r="F68">
        <f>E68*D68*C68/10^6</f>
        <v>2.93265</v>
      </c>
      <c r="G68" t="str">
        <v>cánh</v>
      </c>
    </row>
    <row r="69">
      <c r="B69">
        <f>C10</f>
        <v>6</v>
      </c>
      <c r="C69">
        <f>G62-G15*2-G12</f>
        <v>1714</v>
      </c>
      <c r="D69">
        <f>G63-G15*2-G12</f>
        <v>262</v>
      </c>
      <c r="E69">
        <f>1*C11</f>
        <v>1</v>
      </c>
      <c r="F69">
        <f>E69*D69*C69/10^6</f>
        <v>0.449068</v>
      </c>
      <c r="G69" t="str">
        <v>vách</v>
      </c>
    </row>
    <row r="70">
      <c r="B70">
        <f>C10</f>
        <v>6</v>
      </c>
      <c r="C70">
        <f>G55-G15*2-G12</f>
        <v>337</v>
      </c>
      <c r="D70">
        <f>D11-G15-G17/2-G12</f>
        <v>283</v>
      </c>
      <c r="E70">
        <f>2*C11</f>
        <v>2</v>
      </c>
      <c r="F70">
        <f>E70*D70*C70/10^6</f>
        <v>0.190742</v>
      </c>
      <c r="G70" t="str">
        <v>vách</v>
      </c>
    </row>
    <row r="71">
      <c r="B71">
        <f>C10</f>
        <v>6</v>
      </c>
      <c r="C71">
        <f>C70</f>
        <v>337</v>
      </c>
      <c r="D71">
        <f>C8-G15-G17/2-G12</f>
        <v>2183</v>
      </c>
      <c r="E71">
        <f>2*C11</f>
        <v>2</v>
      </c>
      <c r="F71">
        <f>E71*D71*C71/10^6</f>
        <v>1.471342</v>
      </c>
      <c r="G71" t="str">
        <v>vách</v>
      </c>
    </row>
    <row r="72">
      <c r="B72" t="str">
        <v>PHỤ KIỆN</v>
      </c>
      <c r="C72" t="str">
        <v>đi 2 cánh</v>
      </c>
    </row>
    <row r="73">
      <c r="B73" t="str">
        <v>Tên</v>
      </c>
      <c r="C73" t="str">
        <v>Mã</v>
      </c>
      <c r="D73" t="str">
        <v>ĐVT</v>
      </c>
      <c r="E73" t="str">
        <v>Số lượng</v>
      </c>
    </row>
    <row r="74">
      <c r="B74" t="str">
        <v>Bản lề cửa đi P58</v>
      </c>
      <c r="C74" t="str">
        <v>P58-DBL</v>
      </c>
      <c r="D74" t="str">
        <v>Chiếc</v>
      </c>
      <c r="E74">
        <f>H74*$H$5</f>
        <v>6</v>
      </c>
      <c r="H74">
        <v>6</v>
      </c>
    </row>
    <row r="75">
      <c r="B75" t="str">
        <v>Bộ khóa đa điểm cửa đi P58</v>
      </c>
      <c r="C75" t="str">
        <v>P58-DKDD</v>
      </c>
      <c r="D75" t="str">
        <v>Bộ</v>
      </c>
      <c r="E75">
        <f>H75*$H$5</f>
        <v>1</v>
      </c>
      <c r="H75">
        <v>1</v>
      </c>
    </row>
    <row r="76">
      <c r="B76" t="str">
        <v>Đầu khóa biên thấp cửa đi P58</v>
      </c>
      <c r="C76" t="str">
        <v>P58-DKBT</v>
      </c>
      <c r="D76" t="str">
        <v>Chiếc</v>
      </c>
      <c r="E76">
        <f>H76*$H$5</f>
        <v>2</v>
      </c>
      <c r="H76">
        <v>2</v>
      </c>
    </row>
    <row r="77">
      <c r="B77" t="str">
        <v>Vấu 2 cánh cửa đi P58</v>
      </c>
      <c r="C77" t="str">
        <v>P58-DV2C</v>
      </c>
      <c r="D77" t="str">
        <v>Chiếc</v>
      </c>
      <c r="E77">
        <f>H77*$H$5</f>
        <v>2</v>
      </c>
      <c r="H77">
        <v>2</v>
      </c>
    </row>
    <row r="78">
      <c r="B78" t="str">
        <v>Chốt cánh phụ 500 cửa đi P58</v>
      </c>
      <c r="C78" t="str">
        <v>P58-DC500</v>
      </c>
      <c r="D78" t="str">
        <v>Chiếc</v>
      </c>
      <c r="E78">
        <f>H78*$H$5</f>
        <v>1</v>
      </c>
      <c r="H78">
        <v>1</v>
      </c>
    </row>
    <row r="79">
      <c r="B79" t="str">
        <v>Chốt cánh phụ 220 cửa đi P58</v>
      </c>
      <c r="C79" t="str">
        <v>P58-DC220</v>
      </c>
      <c r="D79" t="str">
        <v>Chiếc</v>
      </c>
      <c r="E79">
        <f>H79*$H$5</f>
        <v>1</v>
      </c>
      <c r="H79">
        <v>1</v>
      </c>
    </row>
    <row r="80">
      <c r="B80" t="str">
        <v>Nắp bịt chân cánh cửa đi P58</v>
      </c>
      <c r="C80" t="str">
        <v>P58-DBC</v>
      </c>
      <c r="D80" t="str">
        <v>Cặp</v>
      </c>
      <c r="E80">
        <f>H80*$H$5</f>
        <v>2</v>
      </c>
      <c r="H80">
        <v>2</v>
      </c>
    </row>
    <row r="81">
      <c r="B81" t="str">
        <v>Nắp bịt đố động P58</v>
      </c>
      <c r="C81" t="str">
        <v>P58-BDD</v>
      </c>
      <c r="D81" t="str">
        <v>Cặp</v>
      </c>
      <c r="E81">
        <f>H81*$H$5</f>
        <v>1</v>
      </c>
      <c r="H81">
        <v>1</v>
      </c>
    </row>
    <row r="82">
      <c r="B82" t="str">
        <v>Ke khung cửa đi mở quay P58</v>
      </c>
      <c r="C82" t="str">
        <v>P58-DKNK</v>
      </c>
      <c r="D82" t="str">
        <v>Chiếc</v>
      </c>
      <c r="E82">
        <f>H82*$H$5</f>
        <v>2</v>
      </c>
      <c r="H82">
        <v>2</v>
      </c>
    </row>
    <row r="83">
      <c r="B83" t="str">
        <v>Ke cánh cửa đi mở quay P58</v>
      </c>
      <c r="C83" t="str">
        <v>P58-DKNC</v>
      </c>
      <c r="D83" t="str">
        <v>Chiếc</v>
      </c>
      <c r="E83">
        <f>H83*$H$5</f>
        <v>8</v>
      </c>
      <c r="H83">
        <v>8</v>
      </c>
    </row>
    <row r="84">
      <c r="B84" t="str">
        <v>Ke tăng cứng P58</v>
      </c>
      <c r="C84" t="str">
        <v>P58-KTC</v>
      </c>
      <c r="D84" t="str">
        <v>Chiếc</v>
      </c>
      <c r="E84">
        <f>H84*$H$5</f>
        <v>8</v>
      </c>
      <c r="H84">
        <v>8</v>
      </c>
    </row>
    <row r="85">
      <c r="B85" t="str">
        <v>Ke khung cửa sổ mở quay P58</v>
      </c>
      <c r="C85" t="str">
        <v>P58-SKNK</v>
      </c>
      <c r="D85" t="str">
        <v>Chiếc</v>
      </c>
      <c r="E85">
        <f>H85*$H$5</f>
        <v>12</v>
      </c>
      <c r="H85">
        <v>12</v>
      </c>
    </row>
    <row r="86">
      <c r="B86" t="str">
        <v>BẢNG TÍNH GIÁ THÀNH</v>
      </c>
    </row>
    <row r="87">
      <c r="B87" t="str">
        <v>Tên gọi</v>
      </c>
      <c r="C87" t="str">
        <v>Đơn vị tính</v>
      </c>
      <c r="D87" t="str">
        <v>Số lượng</v>
      </c>
      <c r="E87" t="str">
        <v>Đơn giá</v>
      </c>
      <c r="F87" t="str">
        <v>Thành tiền</v>
      </c>
    </row>
    <row r="88">
      <c r="B88" t="str">
        <v>Nhôm (VNĐ)</v>
      </c>
      <c r="C88" t="str">
        <v>Kg</v>
      </c>
      <c r="D88">
        <f>SUM(I46:I65)</f>
        <v>50.465118999999994</v>
      </c>
      <c r="E88">
        <f>C12</f>
        <v>105000</v>
      </c>
      <c r="F88">
        <f>E88*D88</f>
        <v>5298837.494999999</v>
      </c>
    </row>
    <row r="89">
      <c r="B89" t="str">
        <v>Kính (VNĐ)</v>
      </c>
      <c r="C89" t="str">
        <v>m2</v>
      </c>
      <c r="D89">
        <f>SUM(F68:F71)</f>
        <v>5.043802</v>
      </c>
      <c r="E89">
        <f>C13</f>
        <v>245000</v>
      </c>
      <c r="F89">
        <f>E89*D89</f>
        <v>1235731.49</v>
      </c>
    </row>
    <row r="90">
      <c r="B90" t="str">
        <v>Phụ Kiện (tự nhập) (VNĐ)</v>
      </c>
    </row>
    <row r="91">
      <c r="B91" t="str">
        <v>Vật Tư Phụ (tự nhập) (VNĐ)</v>
      </c>
    </row>
    <row r="92">
      <c r="B92" t="str">
        <v>Công Sản Xuất + Lắp Đặt (VNĐ)</v>
      </c>
    </row>
    <row r="93">
      <c r="B93" t="str">
        <v>Tổng (chưa tính hao hụt nhôm)</v>
      </c>
      <c r="F93">
        <f>SUM(F88:F92)</f>
        <v>6534568.984999999</v>
      </c>
    </row>
  </sheetData>
  <mergeCells count="2">
    <mergeCell ref="B44:G44"/>
    <mergeCell ref="B2:G2"/>
  </mergeCells>
  <pageMargins left="0.7" right="0.7" top="0.75" bottom="0.75" header="0.3" footer="0.3"/>
  <ignoredErrors>
    <ignoredError numberStoredAsText="1" sqref="A1:J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B66</v>
      </c>
      <c r="D2" t="str">
        <v>B72</v>
      </c>
      <c r="E2" t="str">
        <v>B86</v>
      </c>
    </row>
    <row r="3">
      <c r="A3" t="str">
        <v>C13</v>
      </c>
      <c r="B3" t="str">
        <v>G65</v>
      </c>
      <c r="C3" t="str">
        <v>G71</v>
      </c>
      <c r="D3" t="str">
        <v>E85</v>
      </c>
      <c r="E3" t="str">
        <v>F93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F93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CDMQ2C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2024-09-16T10:06:21Z</dcterms:modified>
  <cp:lastModifiedBy>Admin</cp:lastModifiedBy>
  <cp:lastPrinted>2014-12-05T03:23:20Z</cp:lastPrinted>
  <dc:creator>Windows User</dc:creator>
</cp:coreProperties>
</file>