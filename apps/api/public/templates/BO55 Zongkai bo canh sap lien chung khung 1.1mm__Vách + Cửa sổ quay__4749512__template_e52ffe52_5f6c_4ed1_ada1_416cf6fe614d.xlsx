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CSMQ2C (2)" sheetId="1" r:id="rId1"/>
    <sheet name="TSS1" sheetId="2" r:id="rId2"/>
  </sheets>
  <definedNames>
    <definedName name="AllSh">SUBSTITUTE(ShN,"["&amp;Wb&amp;"]","")</definedName>
    <definedName name="EP08E">'[1]gia vat tu'!$D$13</definedName>
    <definedName name="EP265K">'[1]gia vat tu'!$D$16</definedName>
    <definedName name="EP27E">'[1]gia vat tu'!$D$14</definedName>
    <definedName name="Glass" localSheetId="0">[2]Glass!$B$8:$B$17</definedName>
    <definedName name="Henhom" localSheetId="0">[2]Alu!$D$91:$D$95</definedName>
    <definedName name="K_Inox">'[1]gia vat tu'!$D$21</definedName>
    <definedName name="Keo_bot">'[1]gia vat tu'!$D$20</definedName>
    <definedName name="kinh">#REF!</definedName>
    <definedName name="MA_CSMQXF55">[2]Alu!$B$33:$B$48</definedName>
    <definedName name="SiK">'[1]gia vat tu'!$D$18</definedName>
    <definedName name="SiT">'[1]gia vat tu'!$D$19</definedName>
    <definedName name="VIT_Inox">'[1]gia vat tu'!$D$24</definedName>
    <definedName name="vitri">[2]Alu!$D$97:$D$109</definedName>
    <definedName name="VT_PHU" localSheetId="0">[2]Phụ!$B$2:$B$14</definedName>
  </definedNames>
</workbook>
</file>

<file path=xl/styles.xml><?xml version="1.0" encoding="utf-8"?>
<styleSheet xmlns="http://schemas.openxmlformats.org/spreadsheetml/2006/main" xmlns:vt="http://schemas.openxmlformats.org/officeDocument/2006/docPropsVTypes">
  <numFmts count="5">
    <numFmt numFmtId="43" formatCode="_(* #,##0.00_);_(* \(#,##0.00\);_(* &quot;-&quot;??_);_(@_)"/>
    <numFmt numFmtId="56" formatCode="&quot;上午/下午 &quot;hh&quot;時&quot;mm&quot;分&quot;ss&quot;秒 &quot;"/>
    <numFmt numFmtId="164" formatCode="_(* #,##0_);_(* \(#,##0\);_(* &quot;-&quot;??_);_(@_)"/>
    <numFmt numFmtId="165" formatCode="&quot;H2=&quot;0"/>
    <numFmt numFmtId="166" formatCode="_(* #,##0.0_);_(* \(#,##0.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0"/>
  <sheetViews>
    <sheetView workbookViewId="0" rightToLeft="0"/>
  </sheetViews>
  <sheetData>
    <row r="2">
      <c r="B2" t="str">
        <v>BẢN VẼ SẢN XUẤT SN</v>
      </c>
    </row>
    <row r="3">
      <c r="B3" t="str">
        <v>Tên khách hàng</v>
      </c>
      <c r="C3" t="str">
        <v>Anh Tuấn</v>
      </c>
      <c r="F3" t="str">
        <v>Loại kính</v>
      </c>
      <c r="G3">
        <v>6</v>
      </c>
    </row>
    <row r="4">
      <c r="B4" t="str">
        <v>Ký hiệu cửa</v>
      </c>
      <c r="C4" t="str">
        <v>S3.2</v>
      </c>
      <c r="F4" t="str">
        <v>Giá nhôm (VNĐ/Kg)</v>
      </c>
      <c r="G4">
        <v>90000</v>
      </c>
      <c r="H4" t="str">
        <v>Cửa sổ mở quay (hất) 2 cánh liền vách</v>
      </c>
    </row>
    <row r="5">
      <c r="B5" t="str">
        <v>Rộng Cửa (B) (mm)</v>
      </c>
      <c r="C5">
        <v>2200</v>
      </c>
      <c r="F5" t="str">
        <v>Giá kính (VNĐ/m2)</v>
      </c>
      <c r="G5">
        <v>245000</v>
      </c>
      <c r="H5">
        <f>C9</f>
        <v>1</v>
      </c>
      <c r="I5">
        <f>C12</f>
        <v>3.3</v>
      </c>
    </row>
    <row r="6">
      <c r="B6" t="str">
        <v>Cao Cửa (H) (mm)</v>
      </c>
      <c r="C6">
        <v>1500</v>
      </c>
      <c r="F6" t="str">
        <v>(1)-Cánh cửa đi ngậm khung</v>
      </c>
      <c r="G6">
        <v>7</v>
      </c>
    </row>
    <row r="7">
      <c r="B7" t="str">
        <v>B1 (mm)</v>
      </c>
      <c r="C7">
        <v>600</v>
      </c>
      <c r="F7" t="str">
        <v>(2)-Cánh cửa sổ ngậm khung</v>
      </c>
      <c r="G7">
        <v>7</v>
      </c>
    </row>
    <row r="8">
      <c r="B8" t="str">
        <v>Loại kính</v>
      </c>
      <c r="C8">
        <v>6</v>
      </c>
      <c r="F8" t="str">
        <v>(3)-Khe hở giữa cửa đi 2 (4) cánh</v>
      </c>
      <c r="G8">
        <v>5</v>
      </c>
    </row>
    <row r="9">
      <c r="B9" t="str">
        <v>Số bộ</v>
      </c>
      <c r="C9">
        <v>1</v>
      </c>
      <c r="F9" t="str">
        <v>(4)-Khe hở cánh cửa đi 4 cánh</v>
      </c>
      <c r="G9">
        <v>5</v>
      </c>
    </row>
    <row r="10">
      <c r="B10" t="str">
        <v>Giá nhôm (VNĐ/Kg)</v>
      </c>
      <c r="C10">
        <v>90000</v>
      </c>
      <c r="D10">
        <f>C7</f>
        <v>600</v>
      </c>
      <c r="E10">
        <f>(C5-C7*2)/2</f>
        <v>500</v>
      </c>
      <c r="F10" t="str">
        <v>(5)-Khe hở giữa cửa sổ 2 cánh</v>
      </c>
      <c r="G10">
        <v>5</v>
      </c>
    </row>
    <row r="11">
      <c r="B11" t="str">
        <v>Giá kính (VNĐ/m2)</v>
      </c>
      <c r="C11">
        <v>245000</v>
      </c>
      <c r="F11" t="str">
        <v>(6)-Cánh cửa trượt ngậm khung</v>
      </c>
      <c r="G11">
        <v>10</v>
      </c>
    </row>
    <row r="12">
      <c r="B12" t="str">
        <v>Diện tích/bộ</v>
      </c>
      <c r="C12">
        <f>C5*C6/10^6</f>
        <v>3.3</v>
      </c>
      <c r="F12" t="str">
        <v>(7)-Khe hở kính</v>
      </c>
      <c r="G12">
        <v>10</v>
      </c>
    </row>
    <row r="13">
      <c r="B13" t="str">
        <v>Tổng diện tích</v>
      </c>
      <c r="C13">
        <f>C12*C9</f>
        <v>3.3</v>
      </c>
      <c r="F13" t="str">
        <v>(8)-Cao khung mở quay (tính cánh)</v>
      </c>
      <c r="G13">
        <v>37</v>
      </c>
    </row>
    <row r="14">
      <c r="E14">
        <f>C5</f>
        <v>2200</v>
      </c>
      <c r="F14" t="str">
        <v>(9)-Cao khung mở quay (tính đố)</v>
      </c>
      <c r="G14">
        <v>25</v>
      </c>
    </row>
    <row r="15">
      <c r="F15" t="str">
        <v>(10)-Cao đố chia vách (tính cánh)</v>
      </c>
      <c r="G15">
        <v>37</v>
      </c>
    </row>
    <row r="16">
      <c r="F16" t="str">
        <v>(11)-Cao đố chia vách (tính đố)</v>
      </c>
      <c r="G16">
        <v>13</v>
      </c>
    </row>
    <row r="17">
      <c r="F17" t="str">
        <v>(12)-Cao cánh cửa đi (tính kính)</v>
      </c>
      <c r="G17">
        <v>67</v>
      </c>
    </row>
    <row r="18">
      <c r="F18" t="str">
        <v>(13)-Cao cánh cửa đi (tính đố cánh)</v>
      </c>
      <c r="G18">
        <v>74</v>
      </c>
    </row>
    <row r="19">
      <c r="F19" t="str">
        <v>(14)-Cao đố cánh cửa đi</v>
      </c>
      <c r="G19">
        <v>40</v>
      </c>
    </row>
    <row r="20">
      <c r="F20" t="str">
        <v>(15)-Cao cánh cửa sổ (tính kính)</v>
      </c>
      <c r="G20">
        <v>53</v>
      </c>
    </row>
    <row r="21">
      <c r="F21" t="str">
        <v>(16)-Cao nẹp (tính nẹp vách)</v>
      </c>
      <c r="G21">
        <v>19</v>
      </c>
    </row>
    <row r="22">
      <c r="F22" t="str">
        <v>(17)-Cao khung cửa trượt</v>
      </c>
      <c r="G22">
        <v>42</v>
      </c>
    </row>
    <row r="23">
      <c r="F23" t="str">
        <v>(18)-Cao cánh cửa trượt (tính cánh)</v>
      </c>
      <c r="G23">
        <v>70</v>
      </c>
    </row>
    <row r="24">
      <c r="F24" t="str">
        <v>(19)-Cao cánh cửa trượt (tính kính)</v>
      </c>
      <c r="G24">
        <v>53</v>
      </c>
    </row>
    <row r="25">
      <c r="F25" t="str">
        <v>(20)-Chiều dày hèm đối đầu cửa trượt</v>
      </c>
      <c r="G25">
        <v>2</v>
      </c>
    </row>
    <row r="26">
      <c r="F26" t="str">
        <v>(21)-Chiều dày thanh nối khung</v>
      </c>
      <c r="G26">
        <v>2</v>
      </c>
    </row>
    <row r="27">
      <c r="F27" t="str">
        <v>Khung cửa mở quay (kg/m)</v>
      </c>
      <c r="G27">
        <v>0.734</v>
      </c>
    </row>
    <row r="28">
      <c r="F28" t="str">
        <v>Đố chia khung (kg/m)</v>
      </c>
      <c r="G28">
        <v>0.717</v>
      </c>
    </row>
    <row r="29">
      <c r="F29" t="str">
        <v>Cánh cửa sổ quay (kg/m)</v>
      </c>
      <c r="G29">
        <v>0.817</v>
      </c>
    </row>
    <row r="30">
      <c r="F30" t="str">
        <v>Cánh đi mở quay (kg/m)</v>
      </c>
      <c r="G30">
        <v>0.834</v>
      </c>
    </row>
    <row r="31">
      <c r="F31" t="str">
        <v>Đố cánh cửa đi (kg/m)</v>
      </c>
      <c r="G31">
        <v>0.834</v>
      </c>
    </row>
    <row r="32">
      <c r="F32" t="str">
        <v>Đố động (kg/m)</v>
      </c>
      <c r="G32">
        <v>0.584</v>
      </c>
    </row>
    <row r="33">
      <c r="F33" t="str">
        <v>Ốp đáy (kg/m)</v>
      </c>
      <c r="G33">
        <v>0.317</v>
      </c>
    </row>
    <row r="34">
      <c r="F34" t="str">
        <v>Nẹp vách (kg/m)</v>
      </c>
      <c r="G34">
        <v>0.25</v>
      </c>
    </row>
    <row r="35">
      <c r="F35" t="str">
        <v>Nối khung (kg/m)</v>
      </c>
      <c r="G35">
        <v>0.4</v>
      </c>
    </row>
    <row r="36">
      <c r="F36" t="str">
        <v>Khung cửa trượt (kg/m)</v>
      </c>
      <c r="G36">
        <v>0.75</v>
      </c>
    </row>
    <row r="37">
      <c r="F37" t="str">
        <v>Cánh cửa trượt (kg/m)</v>
      </c>
      <c r="G37">
        <v>0.684</v>
      </c>
    </row>
    <row r="38">
      <c r="F38" t="str">
        <v>Móc cánh cửa trượt (kg/m)</v>
      </c>
      <c r="G38">
        <v>0.434</v>
      </c>
    </row>
    <row r="39">
      <c r="F39" t="str">
        <v>Hèm đối đầu (kg/m)</v>
      </c>
      <c r="G39">
        <v>0.267</v>
      </c>
    </row>
    <row r="40">
      <c r="F40" t="str">
        <v>(22)-Tính đố động= cánh trừ</v>
      </c>
      <c r="G40">
        <v>29</v>
      </c>
    </row>
    <row r="41">
      <c r="F41" t="str">
        <v>(23)-Cửa trượt ngậm thêm khung</v>
      </c>
      <c r="G41">
        <v>0</v>
      </c>
    </row>
    <row r="42">
      <c r="F42" t="str">
        <v>(24)-Tính hèm chân= cánh trừ</v>
      </c>
      <c r="G42">
        <v>19</v>
      </c>
    </row>
    <row r="44">
      <c r="B44" t="str">
        <v>KÍCH THƯỚC CẮT NHÔM</v>
      </c>
    </row>
    <row r="45" xml:space="preserve">
      <c r="B45" t="str">
        <v>Tên thanh nhôm</v>
      </c>
      <c r="C45" t="str">
        <v>Vị trí thanh</v>
      </c>
      <c r="D45" t="str">
        <v>Ký hiệu</v>
      </c>
      <c r="E45" t="str">
        <v>Góc cắt</v>
      </c>
      <c r="F45" t="str">
        <v>Số lượng</v>
      </c>
      <c r="G45" t="str" xml:space="preserve">
        <v xml:space="preserve">Kích thước_x000d_
(mm)</v>
      </c>
      <c r="H45" t="str" xml:space="preserve">
        <v xml:space="preserve">Trọng lượng_x000d_
(kg/m)</v>
      </c>
      <c r="I45" t="str">
        <v>Tổng trọng lượng (Kg)</v>
      </c>
      <c r="J45" t="str">
        <v>Số lượng</v>
      </c>
    </row>
    <row r="46">
      <c r="B46" t="str">
        <v>Khung cửa mở quay 1.1</v>
      </c>
      <c r="C46" t="str">
        <v>Ngang</v>
      </c>
      <c r="D46" t="str">
        <v>BO55101</v>
      </c>
      <c r="E46" t="str">
        <v>45-45</v>
      </c>
      <c r="F46">
        <f>$C$9*J46</f>
        <v>2</v>
      </c>
      <c r="G46">
        <f>C5</f>
        <v>2200</v>
      </c>
      <c r="H46">
        <f>$G$27</f>
        <v>0.734</v>
      </c>
      <c r="I46">
        <f>F46*G46*H46/1000</f>
        <v>3.2296</v>
      </c>
      <c r="J46">
        <v>2</v>
      </c>
    </row>
    <row r="47">
      <c r="B47" t="str">
        <v>Khung cửa mở quay 1.1</v>
      </c>
      <c r="C47" t="str">
        <v>Đứng</v>
      </c>
      <c r="D47" t="str">
        <v>BO55101</v>
      </c>
      <c r="E47" t="str">
        <v>45-45</v>
      </c>
      <c r="F47">
        <f>$C$9*J47</f>
        <v>2</v>
      </c>
      <c r="G47">
        <f>C6</f>
        <v>1500</v>
      </c>
      <c r="H47">
        <f>$G$27</f>
        <v>0.734</v>
      </c>
      <c r="I47">
        <f>F47*G47*H47/1000</f>
        <v>2.202</v>
      </c>
      <c r="J47">
        <v>2</v>
      </c>
    </row>
    <row r="48">
      <c r="B48" t="str">
        <v>Đố chia khung 1.1</v>
      </c>
      <c r="C48" t="str">
        <v>Đứng</v>
      </c>
      <c r="D48" t="str">
        <v>BO55402</v>
      </c>
      <c r="E48" t="str">
        <v>90-90</v>
      </c>
      <c r="F48">
        <f>$C$9*J48</f>
        <v>3</v>
      </c>
      <c r="G48">
        <f>G47-G14*2</f>
        <v>1450</v>
      </c>
      <c r="H48">
        <f>$G$28</f>
        <v>0.717</v>
      </c>
      <c r="I48">
        <f>F48*G48*H48/1000</f>
        <v>3.11895</v>
      </c>
      <c r="J48">
        <v>3</v>
      </c>
    </row>
    <row r="49">
      <c r="B49" t="str">
        <v>Cánh cửa sổ quay 1.1</v>
      </c>
      <c r="C49" t="str">
        <v>Ngang</v>
      </c>
      <c r="D49" t="str">
        <v>BO55302</v>
      </c>
      <c r="E49" t="str">
        <v>45-45</v>
      </c>
      <c r="F49">
        <f>$C$9*J49</f>
        <v>4</v>
      </c>
      <c r="G49">
        <f>C7-G13-G15/2+G7*2</f>
        <v>558.5</v>
      </c>
      <c r="H49">
        <f>$G$29</f>
        <v>0.817</v>
      </c>
      <c r="I49">
        <f>F49*G49*H49/1000</f>
        <v>1.825178</v>
      </c>
      <c r="J49">
        <v>4</v>
      </c>
    </row>
    <row r="50">
      <c r="B50" t="str">
        <v>Cánh cửa sổ quay 1.1</v>
      </c>
      <c r="C50" t="str">
        <v>Đứng</v>
      </c>
      <c r="D50" t="str">
        <v>BO55302</v>
      </c>
      <c r="E50" t="str">
        <v>45-45</v>
      </c>
      <c r="F50">
        <f>$C$9*J50</f>
        <v>4</v>
      </c>
      <c r="G50">
        <f>C6-G13*2+G7*2</f>
        <v>1440</v>
      </c>
      <c r="H50">
        <f>$G$29</f>
        <v>0.817</v>
      </c>
      <c r="I50">
        <f>F50*G50*H50/1000</f>
        <v>4.70592</v>
      </c>
      <c r="J50">
        <v>4</v>
      </c>
    </row>
    <row r="51">
      <c r="B51" t="str">
        <v>Nẹp vách</v>
      </c>
      <c r="C51" t="str">
        <v>Ngang</v>
      </c>
      <c r="D51" t="str">
        <v>ZK-3296</v>
      </c>
      <c r="E51" t="str">
        <v>90-90</v>
      </c>
      <c r="F51">
        <f>$C$9*J51</f>
        <v>4</v>
      </c>
      <c r="G51">
        <f>(C5-C7*2)/2-G15</f>
        <v>463</v>
      </c>
      <c r="H51">
        <f>$G$34</f>
        <v>0.25</v>
      </c>
      <c r="I51">
        <f>F51*G51*H51/1000</f>
        <v>0.463</v>
      </c>
      <c r="J51">
        <v>4</v>
      </c>
    </row>
    <row r="52">
      <c r="B52" t="str">
        <v>Nẹp vách</v>
      </c>
      <c r="C52" t="str">
        <v>Đứng</v>
      </c>
      <c r="D52" t="str">
        <v>ZK-3296</v>
      </c>
      <c r="E52" t="str">
        <v>90-90</v>
      </c>
      <c r="F52">
        <f>$C$9*J52</f>
        <v>4</v>
      </c>
      <c r="G52">
        <f>C6-G13*2-G21*2</f>
        <v>1388</v>
      </c>
      <c r="H52">
        <f>$G$34</f>
        <v>0.25</v>
      </c>
      <c r="I52">
        <f>F52*G52*H52/1000</f>
        <v>1.388</v>
      </c>
      <c r="J52">
        <v>4</v>
      </c>
    </row>
    <row r="55">
      <c r="B55" t="str">
        <v>KÍCH THƯỚC CẮT KÍNH</v>
      </c>
    </row>
    <row r="56">
      <c r="B56" t="str">
        <v>Tên kính</v>
      </c>
      <c r="C56" t="str">
        <v>Rộng</v>
      </c>
      <c r="D56" t="str">
        <v>Cao</v>
      </c>
      <c r="E56" t="str">
        <v>Số lượng</v>
      </c>
      <c r="F56" t="str">
        <v>Diện tích kính (m2)</v>
      </c>
      <c r="G56" t="str">
        <v>Vị trí</v>
      </c>
    </row>
    <row r="57">
      <c r="B57">
        <f>C8</f>
        <v>6</v>
      </c>
      <c r="C57">
        <f>G49-G20*2-G12</f>
        <v>442.5</v>
      </c>
      <c r="D57">
        <f>G50-G20*2-G12</f>
        <v>1324</v>
      </c>
      <c r="E57">
        <f>2*C9</f>
        <v>2</v>
      </c>
      <c r="F57">
        <f>E57*D57*C57/10^6</f>
        <v>1.17174</v>
      </c>
      <c r="G57" t="str">
        <v>cánh</v>
      </c>
    </row>
    <row r="58">
      <c r="B58">
        <f>C8</f>
        <v>6</v>
      </c>
      <c r="C58">
        <f>C5/2-C7-G15-G12</f>
        <v>453</v>
      </c>
      <c r="D58">
        <f>C6-G13*2-G12</f>
        <v>1416</v>
      </c>
      <c r="E58">
        <f>2*C9</f>
        <v>2</v>
      </c>
      <c r="F58">
        <f>E58*D58*C58/10^6</f>
        <v>1.282896</v>
      </c>
      <c r="G58" t="str">
        <v>vách</v>
      </c>
    </row>
    <row r="61">
      <c r="B61" t="str">
        <v>PHỤ KIỆN</v>
      </c>
      <c r="C61" t="str">
        <v>sổ 1 cánh</v>
      </c>
    </row>
    <row r="62">
      <c r="B62" t="str">
        <v>Tên</v>
      </c>
      <c r="C62" t="str">
        <v>Mã</v>
      </c>
      <c r="D62" t="str">
        <v>ĐVT</v>
      </c>
      <c r="E62" t="str">
        <v>Số lượng</v>
      </c>
      <c r="H62" t="str">
        <v>SL/Bộ</v>
      </c>
    </row>
    <row r="63">
      <c r="B63" t="str">
        <v>Bản lề cửa sổ SN</v>
      </c>
      <c r="C63" t="str">
        <v>SN-SBL</v>
      </c>
      <c r="D63" t="str">
        <v>Chiếc</v>
      </c>
      <c r="E63">
        <f>H63*$H$5*2</f>
        <v>4</v>
      </c>
      <c r="H63">
        <v>2</v>
      </c>
    </row>
    <row r="64">
      <c r="B64" t="str">
        <v>Tay nắm cửa sổ mở quay SN</v>
      </c>
      <c r="C64" t="str">
        <v>SN-STN</v>
      </c>
      <c r="D64" t="str">
        <v>Chiếc</v>
      </c>
      <c r="E64">
        <f>H64*$H$5*2</f>
        <v>2</v>
      </c>
      <c r="H64">
        <v>1</v>
      </c>
    </row>
    <row r="65">
      <c r="B65" t="str">
        <v>Thanh chuyển động SN</v>
      </c>
      <c r="C65" t="str">
        <v>SN-STCD</v>
      </c>
      <c r="D65" t="str">
        <v>Thanh</v>
      </c>
      <c r="E65">
        <f>H65*$H$5*2</f>
        <v>2</v>
      </c>
      <c r="H65">
        <v>1</v>
      </c>
    </row>
    <row r="66">
      <c r="B66" t="str">
        <v>Vấu chốt quay hất cửa sổ SN</v>
      </c>
      <c r="C66" t="str">
        <v>SN-SV</v>
      </c>
      <c r="D66" t="str">
        <v>Chiếc</v>
      </c>
      <c r="E66">
        <f>H66*$H$5*2</f>
        <v>4</v>
      </c>
      <c r="H66">
        <v>2</v>
      </c>
    </row>
    <row r="67">
      <c r="B67" t="str">
        <v>Ke nhảy khung mở quay SN</v>
      </c>
      <c r="C67" t="str">
        <v>SN-KNK</v>
      </c>
      <c r="D67" t="str">
        <v>Chiếc</v>
      </c>
      <c r="E67">
        <f>H67*$H$5</f>
        <v>4</v>
      </c>
      <c r="H67">
        <v>4</v>
      </c>
    </row>
    <row r="68">
      <c r="B68" t="str">
        <v>Ke nhảy cánh sổ mở quay SN</v>
      </c>
      <c r="C68" t="str">
        <v>SN-SKNC</v>
      </c>
      <c r="D68" t="str">
        <v>Chiếc</v>
      </c>
      <c r="E68">
        <f>H68*$H$5*2</f>
        <v>8</v>
      </c>
      <c r="H68">
        <v>4</v>
      </c>
    </row>
    <row r="69">
      <c r="B69" t="str">
        <v>Ke tăng cứng SN</v>
      </c>
      <c r="C69" t="str">
        <v>SN-KTC</v>
      </c>
      <c r="D69" t="str">
        <v>Chiếc</v>
      </c>
      <c r="E69">
        <f>H69*$H$5*2</f>
        <v>8</v>
      </c>
      <c r="H69">
        <v>4</v>
      </c>
    </row>
    <row r="72">
      <c r="B72" t="str">
        <v>BẢNG TÍNH GIÁ THÀNH</v>
      </c>
    </row>
    <row r="73">
      <c r="B73" t="str">
        <v>Tên gọi</v>
      </c>
      <c r="C73" t="str">
        <v>Đơn vị tính</v>
      </c>
      <c r="D73" t="str">
        <v>Số lượng</v>
      </c>
      <c r="E73" t="str">
        <v>Đơn giá</v>
      </c>
      <c r="F73" t="str">
        <v>Thành tiền</v>
      </c>
    </row>
    <row r="74">
      <c r="B74" t="str">
        <v>Nhôm (VNĐ)</v>
      </c>
      <c r="C74" t="str">
        <v>Kg</v>
      </c>
      <c r="D74">
        <f>SUM(I46:I52)</f>
        <v>16.932647999999997</v>
      </c>
      <c r="E74">
        <f>C10</f>
        <v>90000</v>
      </c>
      <c r="F74">
        <f>E74*D74</f>
        <v>1523938.3199999996</v>
      </c>
    </row>
    <row r="75">
      <c r="B75" t="str">
        <v>Kính (VNĐ)</v>
      </c>
      <c r="C75" t="str">
        <v>m2</v>
      </c>
      <c r="D75">
        <f>SUM(F57:F58)</f>
        <v>2.454636</v>
      </c>
      <c r="E75">
        <f>C11</f>
        <v>245000</v>
      </c>
      <c r="F75">
        <f>E75*D75</f>
        <v>601385.82</v>
      </c>
    </row>
    <row r="76">
      <c r="B76" t="str">
        <v>Phụ Kiện (tự nhập) (VNĐ)</v>
      </c>
    </row>
    <row r="77">
      <c r="B77" t="str">
        <v>Vật Tư Phụ (tự nhập) (VNĐ)</v>
      </c>
    </row>
    <row r="78">
      <c r="B78" t="str">
        <v>Công Sản Xuất + Lắp Đặt (VNĐ)</v>
      </c>
    </row>
    <row r="79">
      <c r="B79" t="str">
        <v>Tổng (chưa tính hao hụt nhôm)</v>
      </c>
      <c r="F79">
        <f>SUM(F74:F78)</f>
        <v>2125324.1399999997</v>
      </c>
    </row>
  </sheetData>
  <mergeCells count="2">
    <mergeCell ref="B2:G2"/>
    <mergeCell ref="B44:G44"/>
  </mergeCells>
  <pageMargins left="0.7" right="0.7" top="0.75" bottom="0.75" header="0.3" footer="0.3"/>
  <ignoredErrors>
    <ignoredError numberStoredAsText="1" sqref="A1:J8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 rightToLeft="0"/>
  </sheetViews>
  <sheetData>
    <row r="1">
      <c r="A1" t="str">
        <v>Bảng 1</v>
      </c>
      <c r="B1" t="str">
        <v>Bảng 2</v>
      </c>
      <c r="C1" t="str">
        <v>Bảng 3</v>
      </c>
      <c r="D1" t="str">
        <v>Bảng 4</v>
      </c>
      <c r="E1" t="str">
        <v>Bảng 5</v>
      </c>
    </row>
    <row r="2">
      <c r="A2" t="str">
        <v>B1</v>
      </c>
      <c r="B2" t="str">
        <v>B44</v>
      </c>
      <c r="C2" t="str">
        <v>B55</v>
      </c>
      <c r="D2" t="str">
        <v>B61</v>
      </c>
      <c r="E2" t="str">
        <v>B72</v>
      </c>
    </row>
    <row r="3">
      <c r="A3" t="str">
        <v>C11</v>
      </c>
      <c r="B3" t="str">
        <v>G52</v>
      </c>
      <c r="C3" t="str">
        <v>G58</v>
      </c>
      <c r="D3" t="str">
        <v>E69</v>
      </c>
      <c r="E3" t="str">
        <v>F79</v>
      </c>
    </row>
    <row r="4">
      <c r="A4">
        <v>0</v>
      </c>
      <c r="B4">
        <v>1</v>
      </c>
      <c r="C4">
        <v>1</v>
      </c>
      <c r="D4">
        <v>0</v>
      </c>
      <c r="E4">
        <v>1</v>
      </c>
    </row>
    <row r="5">
      <c r="B5" t="str">
        <v>Ảnh</v>
      </c>
      <c r="C5" t="str">
        <v>Tổng</v>
      </c>
    </row>
    <row r="6">
      <c r="A6" t="str">
        <v>cell bắt đầu ảnh</v>
      </c>
      <c r="B6" t="str">
        <v>D3</v>
      </c>
      <c r="C6" t="str">
        <v>F79</v>
      </c>
    </row>
    <row r="7">
      <c r="A7" t="str">
        <v>cell kết thúc ảnh</v>
      </c>
      <c r="B7" t="str">
        <v>F9</v>
      </c>
    </row>
    <row r="8">
      <c r="A8" t="str">
        <v>canh trái</v>
      </c>
      <c r="B8">
        <v>0.9</v>
      </c>
    </row>
    <row r="9">
      <c r="A9" t="str">
        <v>canh trên</v>
      </c>
      <c r="B9">
        <v>0</v>
      </c>
    </row>
    <row r="10">
      <c r="A10" t="str">
        <v>canh phải</v>
      </c>
      <c r="B10">
        <v>0.5</v>
      </c>
    </row>
    <row r="11">
      <c r="A11" t="str">
        <v>canh dưới</v>
      </c>
      <c r="B11">
        <v>0</v>
      </c>
    </row>
  </sheetData>
  <pageMargins left="0.7" right="0.7" top="0.75" bottom="0.75" header="0.3" footer="0.3"/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CSMQ2C (2)</vt:lpstr>
      <vt:lpstr>TSS1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2013-05-14T01:48:43Z</dcterms:created>
  <dcterms:modified xsi:type="dcterms:W3CDTF">2022-03-04T14:51:17Z</dcterms:modified>
  <cp:lastModifiedBy>ACER</cp:lastModifiedBy>
  <cp:lastPrinted>2014-12-05T03:23:20Z</cp:lastPrinted>
  <dc:creator>Windows User</dc:creator>
</cp:coreProperties>
</file>