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fix1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rightToLeft="0"/>
  </sheetViews>
  <sheetData>
    <row r="2">
      <c r="B2" t="str">
        <v>BẢN VẼ SẢN XUẤT AP55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VK</v>
      </c>
      <c r="F4" t="str">
        <v>Giá nhôm (VNĐ/Kg)</v>
      </c>
      <c r="G4">
        <v>98000</v>
      </c>
      <c r="H4" t="str">
        <v>Vách kính vòm</v>
      </c>
    </row>
    <row r="5">
      <c r="B5" t="str">
        <v>Rộng Cửa (B) (mm)</v>
      </c>
      <c r="C5">
        <v>1200</v>
      </c>
      <c r="F5" t="str">
        <v>Giá kính (VNĐ/m2)</v>
      </c>
      <c r="G5">
        <v>245000</v>
      </c>
      <c r="H5">
        <f>C9</f>
        <v>1</v>
      </c>
      <c r="I5">
        <f>C13</f>
        <v>1.44</v>
      </c>
    </row>
    <row r="6">
      <c r="B6" t="str">
        <v>Cao Cửa (H) (mm)</v>
      </c>
      <c r="C6">
        <v>1200</v>
      </c>
      <c r="F6" t="str">
        <v>(1)-Cánh cửa đi ngậm khung</v>
      </c>
      <c r="G6">
        <v>6</v>
      </c>
      <c r="H6" t="str">
        <v>(1)-Cánh ĐI ngậm khung</v>
      </c>
      <c r="I6">
        <f>G6</f>
        <v>6</v>
      </c>
    </row>
    <row r="7">
      <c r="B7" t="str">
        <v>Cộng thêm 2 đầu uốn (mm)</v>
      </c>
      <c r="C7">
        <v>500</v>
      </c>
      <c r="F7" t="str">
        <v>(2)-Cánh cửa sổ ngậm khung</v>
      </c>
      <c r="G7">
        <v>6</v>
      </c>
      <c r="H7" t="str">
        <v>(2)-Cánh SỔ ngậm khung</v>
      </c>
      <c r="I7">
        <f>G7</f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  <c r="H8" t="str">
        <v>(3)-Hở giữa cửa ĐI 2 (4) cánh</v>
      </c>
      <c r="I8">
        <f>G8</f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  <c r="H9" t="str">
        <v>(4)-Hở cánh cửa ĐI 4 cánh</v>
      </c>
      <c r="I9">
        <f>G9</f>
        <v>5</v>
      </c>
    </row>
    <row r="10">
      <c r="B10" t="str">
        <v>Giá uốn vòm (VNĐ/m)</v>
      </c>
      <c r="C10">
        <v>500000</v>
      </c>
      <c r="F10" t="str">
        <v>(5)-Khe hở giữa cửa sổ 2 cánh</v>
      </c>
      <c r="G10">
        <v>5</v>
      </c>
      <c r="H10" t="str">
        <v>(5)-Hở giữa cửa SỔ 2 cánh</v>
      </c>
      <c r="I10">
        <f>G10</f>
        <v>5</v>
      </c>
    </row>
    <row r="11">
      <c r="B11" t="str">
        <v>Giá nhôm (VNĐ/Kg)</v>
      </c>
      <c r="C11">
        <v>98000</v>
      </c>
      <c r="F11" t="str">
        <v>C3328- Khung cửa đi quay (kg/m)</v>
      </c>
      <c r="G11">
        <v>1.257</v>
      </c>
      <c r="H11" t="str">
        <v>(6)-Cánh TRƯỢT ngậm khung</v>
      </c>
      <c r="I11">
        <v>8.5</v>
      </c>
    </row>
    <row r="12">
      <c r="B12" t="str">
        <v>Giá kính (VNĐ/m2)</v>
      </c>
      <c r="C12">
        <v>245000</v>
      </c>
      <c r="E12">
        <f>C5</f>
        <v>1200</v>
      </c>
      <c r="F12" t="str">
        <v>C3318- Khung cửa sổ quay (kg/m)</v>
      </c>
      <c r="G12">
        <v>0.876</v>
      </c>
      <c r="H12" t="str">
        <v>(7)-Khe hở kính</v>
      </c>
      <c r="I12">
        <v>8</v>
      </c>
    </row>
    <row r="13">
      <c r="B13" t="str">
        <v>Diện tích/bộ</v>
      </c>
      <c r="C13">
        <f>C5*C6/10^6</f>
        <v>1.44</v>
      </c>
      <c r="F13" t="str">
        <v>C3209- Khung vách (kg/m)</v>
      </c>
      <c r="G13">
        <v>0.802</v>
      </c>
      <c r="H13" t="str">
        <v>(8)-Cao khung ĐI quay (tính cánh)</v>
      </c>
      <c r="I13">
        <v>47</v>
      </c>
    </row>
    <row r="14">
      <c r="B14" t="str">
        <v>Tổng diện tích</v>
      </c>
      <c r="C14">
        <f>C13*C9</f>
        <v>1.44</v>
      </c>
      <c r="F14" t="str">
        <v>C3313- Đố chia khung mở quay (kg/m)</v>
      </c>
      <c r="G14">
        <v>1.01</v>
      </c>
      <c r="H14" t="str">
        <v>(9)-Cao khung ĐI quay (tính đố)</v>
      </c>
      <c r="I14">
        <v>36</v>
      </c>
    </row>
    <row r="15">
      <c r="F15" t="str">
        <v>C3203- Đố chia cánh, vách (kg/m)</v>
      </c>
      <c r="G15">
        <v>0.95</v>
      </c>
      <c r="H15" t="str">
        <v>(8.1)-Cao khung SỔ quay (tính cánh)</v>
      </c>
      <c r="I15">
        <v>31</v>
      </c>
      <c r="J15">
        <f>I15</f>
        <v>31</v>
      </c>
    </row>
    <row r="16">
      <c r="F16" t="str">
        <v>C3303- Cánh đi mở quay (kg/m)</v>
      </c>
      <c r="G16">
        <v>1.441</v>
      </c>
      <c r="H16" t="str">
        <v>(9.1)-Cao khung SỔ quay (tính đố)</v>
      </c>
      <c r="I16">
        <v>20</v>
      </c>
      <c r="J16">
        <f>J15-5</f>
        <v>26</v>
      </c>
    </row>
    <row r="17">
      <c r="F17" t="str">
        <v>C3304- Cánh ngang dưới Cđi (kg/m)</v>
      </c>
      <c r="G17">
        <v>2.023</v>
      </c>
      <c r="H17" t="str">
        <v>(10)-Cao đố chia vách (tính cánh)</v>
      </c>
      <c r="I17">
        <v>30</v>
      </c>
    </row>
    <row r="18">
      <c r="F18" t="str">
        <v>C3323- Đố động cửa đi (kg/m)</v>
      </c>
      <c r="G18">
        <v>1.086</v>
      </c>
      <c r="H18" t="str">
        <v>(11)-Cao đố chia vách (tính đố)</v>
      </c>
      <c r="I18">
        <v>20</v>
      </c>
    </row>
    <row r="19">
      <c r="F19" t="str">
        <v>C3202- Cánh cửa sổ quay (kg/m)</v>
      </c>
      <c r="G19">
        <v>1.088</v>
      </c>
      <c r="H19" t="str">
        <v>(12)-Cao cánh ĐI quay (tính kính, nẹp)</v>
      </c>
      <c r="I19">
        <v>68</v>
      </c>
    </row>
    <row r="20">
      <c r="F20" t="str">
        <v>C3033- Đố động cửa sổ (kg/m)</v>
      </c>
      <c r="G20">
        <v>0.825</v>
      </c>
      <c r="H20" t="str">
        <v>(13)-Cao cánh ĐI quay (tính đố cánh)</v>
      </c>
      <c r="I20">
        <v>63</v>
      </c>
    </row>
    <row r="21">
      <c r="F21" t="str">
        <v>C3295- Nẹp cánh, vách (kg/m)</v>
      </c>
      <c r="G21">
        <v>0.271</v>
      </c>
      <c r="H21" t="str">
        <v>(14)-Cao đố cánh ĐI quay</v>
      </c>
      <c r="I21">
        <v>30</v>
      </c>
      <c r="J21">
        <f>I17</f>
        <v>30</v>
      </c>
    </row>
    <row r="22">
      <c r="F22" t="str">
        <v>C3296- Nẹp vách liền cửa (kg/m)</v>
      </c>
      <c r="G22">
        <v>0.237</v>
      </c>
      <c r="H22" t="str">
        <v>(15)-Cao cánh SỔ quay (tính kính)</v>
      </c>
      <c r="I22">
        <v>57</v>
      </c>
      <c r="J22">
        <f>I18</f>
        <v>20</v>
      </c>
    </row>
    <row r="23">
      <c r="F23" t="str">
        <v>C3329- Ốp chân cánh (kg/m)</v>
      </c>
      <c r="G23">
        <v>0.428</v>
      </c>
      <c r="H23" t="str">
        <v>(16)-Cao nẹp (tính nẹp vách, cánh)</v>
      </c>
      <c r="I23">
        <v>19</v>
      </c>
    </row>
    <row r="24">
      <c r="F24" t="str">
        <v>C3300- Nối khung (kg/m)</v>
      </c>
      <c r="G24">
        <v>0.347</v>
      </c>
      <c r="H24" t="str">
        <v>(17)-Cao đố chân cánh cửa đi (tính kính)</v>
      </c>
      <c r="I24">
        <v>119</v>
      </c>
    </row>
    <row r="25">
      <c r="F25" t="str">
        <v>D1541A- Khung trên cửa trượt (kg/m)</v>
      </c>
      <c r="G25">
        <v>1.436</v>
      </c>
      <c r="H25" t="str">
        <v>(18)-Cao khung trượt (Tính cánh)</v>
      </c>
      <c r="I25">
        <v>43</v>
      </c>
    </row>
    <row r="26">
      <c r="F26" t="str">
        <v>D1942- khung dưới ray lệch 25-35 (kg/m)</v>
      </c>
      <c r="G26">
        <v>1.54</v>
      </c>
      <c r="H26" t="str">
        <v>(19)-Cao cánh trượt (Tính cánh)</v>
      </c>
      <c r="I26">
        <v>81.5</v>
      </c>
    </row>
    <row r="27">
      <c r="F27" t="str">
        <v>D1942A- khung dưới ray bằng 25 (kg/m)</v>
      </c>
      <c r="G27">
        <v>1.413</v>
      </c>
      <c r="H27" t="str">
        <v>(20)-Cao cánh trượt (Tính kính)</v>
      </c>
      <c r="I27">
        <v>64</v>
      </c>
    </row>
    <row r="28">
      <c r="F28" t="str">
        <v>D1543A- Khung Đứng cửa trượt (kg/m)</v>
      </c>
      <c r="G28">
        <v>1.134</v>
      </c>
      <c r="H28" t="str">
        <v>(21)-Dày thanh nối khung</v>
      </c>
      <c r="I28">
        <v>2</v>
      </c>
    </row>
    <row r="29">
      <c r="F29" t="str">
        <v>D1544A- Cánh trên H93A cửa trượt (kg/m)</v>
      </c>
      <c r="G29">
        <v>0.99</v>
      </c>
      <c r="H29" t="str">
        <v>(22)-Tính đố động = Cánh trừ</v>
      </c>
      <c r="I29">
        <v>32</v>
      </c>
    </row>
    <row r="30">
      <c r="F30" t="str">
        <v>D1555A- Cánh dưới H93A cửa trượt (kg/m)</v>
      </c>
      <c r="G30">
        <v>1.243</v>
      </c>
      <c r="H30" t="str">
        <v>(23)-Tính ốp chân = Cánh trừ</v>
      </c>
      <c r="I30">
        <v>32</v>
      </c>
    </row>
    <row r="31">
      <c r="F31" t="str">
        <v>D1546A- Cánh đứng H93A cửa trượt (kg/m)</v>
      </c>
      <c r="G31">
        <v>1.273</v>
      </c>
      <c r="H31" t="str">
        <v>Ốp chân cánh (kg/m)</v>
      </c>
      <c r="I31">
        <f>G23</f>
        <v>0.428</v>
      </c>
    </row>
    <row r="32">
      <c r="F32" t="str">
        <v>D1547A- Cánh móc H93A cửa trượt (kg/m)</v>
      </c>
      <c r="G32">
        <v>1.098</v>
      </c>
      <c r="H32" t="str">
        <v>Khung cửa ĐI quay (kg/m)</v>
      </c>
      <c r="I32">
        <f>G11</f>
        <v>1.257</v>
      </c>
    </row>
    <row r="33">
      <c r="F33" t="str">
        <v>D1548A- Hèm đối đầu (kg/m)</v>
      </c>
      <c r="G33">
        <v>0.62</v>
      </c>
      <c r="H33" t="str">
        <v>Khung cửa SỔ quay (kg/m)</v>
      </c>
      <c r="I33">
        <f>G13</f>
        <v>0.802</v>
      </c>
      <c r="J33">
        <f>G13</f>
        <v>0.802</v>
      </c>
    </row>
    <row r="34">
      <c r="F34" t="str">
        <v>D1559A- Khung vách kính trượt (kg/m)</v>
      </c>
      <c r="G34">
        <v>1.035</v>
      </c>
      <c r="H34" t="str">
        <v>Đố chia khung (kg/m)</v>
      </c>
      <c r="I34">
        <f>G15</f>
        <v>0.95</v>
      </c>
    </row>
    <row r="35">
      <c r="F35" t="str">
        <v>D1549A- Ốp vách (kg/m)</v>
      </c>
      <c r="G35">
        <v>0.648</v>
      </c>
      <c r="H35" t="str">
        <v>Cánh cửa SỔ quay (kg/m)</v>
      </c>
      <c r="I35">
        <f>G19</f>
        <v>1.088</v>
      </c>
    </row>
    <row r="36">
      <c r="F36" t="str">
        <v>D2618- Đố T vách kính trượt (kg/m)</v>
      </c>
      <c r="G36">
        <v>1.486</v>
      </c>
      <c r="H36" t="str">
        <v>Cánh cửa ĐI (kg/m)</v>
      </c>
      <c r="I36">
        <f>G16</f>
        <v>1.441</v>
      </c>
    </row>
    <row r="37">
      <c r="F37" t="str">
        <v>C101- Sập vách cửa trượt (kg/m)</v>
      </c>
      <c r="G37">
        <v>0.133</v>
      </c>
      <c r="H37" t="str">
        <v>Đố cánh cửa ĐI (kg/m)</v>
      </c>
      <c r="I37">
        <f>G15</f>
        <v>0.95</v>
      </c>
      <c r="J37">
        <f>G15</f>
        <v>0.95</v>
      </c>
    </row>
    <row r="38">
      <c r="F38" t="str">
        <v>XF- Khung cửa trượt 55 (kg/m)</v>
      </c>
      <c r="G38">
        <v>0.83</v>
      </c>
      <c r="H38" t="str">
        <v>Đố động (kg/m)</v>
      </c>
      <c r="I38">
        <f>G18</f>
        <v>1.086</v>
      </c>
    </row>
    <row r="39">
      <c r="F39" t="str">
        <v>XF- Cánh cửa trượt 55 (kg/m)</v>
      </c>
      <c r="G39">
        <v>0.843</v>
      </c>
      <c r="H39" t="str">
        <v>Đố chân cánh cửa đi (kg/m)</v>
      </c>
      <c r="I39">
        <f>G17</f>
        <v>2.023</v>
      </c>
    </row>
    <row r="40">
      <c r="F40" t="str">
        <v>XF- Móc cánh cửa trượt 55 (kg/m)</v>
      </c>
      <c r="G40">
        <v>0.34</v>
      </c>
      <c r="H40" t="str">
        <v>Nẹp cánh (kg/m)</v>
      </c>
      <c r="I40">
        <f>G21</f>
        <v>0.271</v>
      </c>
    </row>
    <row r="41">
      <c r="F41" t="str">
        <v>XF- Hèm đối đầu trượt 55 (kg/m)</v>
      </c>
      <c r="G41">
        <v>0.213</v>
      </c>
      <c r="H41" t="str">
        <v>Nẹp vách (kg/m)</v>
      </c>
      <c r="I41">
        <f>G22</f>
        <v>0.237</v>
      </c>
    </row>
    <row r="42">
      <c r="H42" t="str">
        <v>Nối khung (kg/m)</v>
      </c>
      <c r="I42">
        <f>G24</f>
        <v>0.347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XF- Khung vách</v>
      </c>
      <c r="C46" t="str">
        <v>Cung tròn</v>
      </c>
      <c r="D46" t="str">
        <v>C3209</v>
      </c>
      <c r="E46" t="str">
        <v>45-45</v>
      </c>
      <c r="F46">
        <f>$C$9*J46</f>
        <v>1</v>
      </c>
      <c r="G46">
        <f>(C5+C6)/2*3.14+C7</f>
        <v>4268</v>
      </c>
      <c r="H46">
        <f>$J$33</f>
        <v>0.802</v>
      </c>
      <c r="I46">
        <f>F46*G46*H46/1000</f>
        <v>3.422936</v>
      </c>
      <c r="J46">
        <v>1</v>
      </c>
    </row>
    <row r="47">
      <c r="B47" t="str">
        <v>XF- Nẹp cánh, vách</v>
      </c>
      <c r="C47" t="str">
        <v>Cung tròn</v>
      </c>
      <c r="D47" t="str">
        <v>C3295</v>
      </c>
      <c r="E47" t="str">
        <v>90-90</v>
      </c>
      <c r="F47">
        <f>$C$9*J47</f>
        <v>1</v>
      </c>
      <c r="G47">
        <f>G46-J15*2-I23*2</f>
        <v>4168</v>
      </c>
      <c r="H47">
        <f>$I$41</f>
        <v>0.237</v>
      </c>
      <c r="I47">
        <f>F47*G47*H47/1000</f>
        <v>0.9878159999999999</v>
      </c>
      <c r="J47">
        <v>1</v>
      </c>
    </row>
    <row r="50">
      <c r="B50" t="str">
        <v>KÍCH THƯỚC CẮT KÍNH</v>
      </c>
    </row>
    <row r="51">
      <c r="B51" t="str">
        <v>Tên kính</v>
      </c>
      <c r="C51" t="str">
        <v>Rộng</v>
      </c>
      <c r="D51" t="str">
        <v>Cao</v>
      </c>
      <c r="E51" t="str">
        <v>Số lượng</v>
      </c>
      <c r="F51" t="str">
        <v>Diện tích kính (m2)</v>
      </c>
      <c r="G51" t="str">
        <v>Vị trí</v>
      </c>
    </row>
    <row r="52">
      <c r="B52">
        <f>C8</f>
        <v>6</v>
      </c>
      <c r="C52">
        <f>C5-31*2-7</f>
        <v>1131</v>
      </c>
      <c r="D52">
        <f>C6-31*2-7</f>
        <v>1131</v>
      </c>
      <c r="E52">
        <f>1*C9</f>
        <v>1</v>
      </c>
      <c r="F52">
        <f>E52*D52*C52/10^6</f>
        <v>1.279161</v>
      </c>
      <c r="G52" t="str">
        <v>Tính theo thực tế</v>
      </c>
    </row>
    <row r="55">
      <c r="B55" t="str">
        <v>PHỤ KIỆN</v>
      </c>
      <c r="C55" t="str">
        <v>vách kính</v>
      </c>
    </row>
    <row r="56">
      <c r="B56" t="str">
        <v>Tên</v>
      </c>
      <c r="C56" t="str">
        <v>Mã</v>
      </c>
      <c r="D56" t="str">
        <v>ĐVT</v>
      </c>
      <c r="E56" t="str">
        <v>Số lượng</v>
      </c>
    </row>
    <row r="59">
      <c r="B59" t="str">
        <v>BẢNG TÍNH GIÁ THÀNH</v>
      </c>
    </row>
    <row r="60">
      <c r="B60" t="str">
        <v>Tên gọi</v>
      </c>
      <c r="C60" t="str">
        <v>Đơn vị tính</v>
      </c>
      <c r="D60" t="str">
        <v>Số lượng</v>
      </c>
      <c r="E60" t="str">
        <v>Đơn giá</v>
      </c>
      <c r="F60" t="str">
        <v>Thành tiền</v>
      </c>
    </row>
    <row r="61">
      <c r="B61" t="str">
        <v>Nhôm (VNĐ)</v>
      </c>
      <c r="C61" t="str">
        <v>Kg</v>
      </c>
      <c r="D61">
        <f>SUM(I46:I47)</f>
        <v>4.410752</v>
      </c>
      <c r="E61">
        <f>C11</f>
        <v>98000</v>
      </c>
      <c r="F61">
        <f>E61*D61</f>
        <v>432253.69599999994</v>
      </c>
    </row>
    <row r="62">
      <c r="B62" t="str">
        <v>Kính (VNĐ)</v>
      </c>
      <c r="C62" t="str">
        <v>m2</v>
      </c>
      <c r="D62">
        <f>SUM(F52:F52)</f>
        <v>1.279161</v>
      </c>
      <c r="E62">
        <f>C12</f>
        <v>245000</v>
      </c>
      <c r="F62">
        <f>E62*D62</f>
        <v>313394.445</v>
      </c>
    </row>
    <row r="63">
      <c r="B63" t="str">
        <v>Chi phí uốn vòm (VNĐ)</v>
      </c>
      <c r="C63" t="str">
        <v>m dài</v>
      </c>
      <c r="D63">
        <f>(G46-C7)*F46/1000</f>
        <v>3.768</v>
      </c>
      <c r="E63">
        <f>C10</f>
        <v>500000</v>
      </c>
      <c r="F63">
        <f>E63*D63</f>
        <v>1884000</v>
      </c>
    </row>
    <row r="64">
      <c r="B64" t="str">
        <v>Phụ Kiện (tự nhập) (VNĐ)</v>
      </c>
    </row>
    <row r="65">
      <c r="B65" t="str">
        <v>Vật Tư Phụ (tự nhập) (VNĐ)</v>
      </c>
    </row>
    <row r="66">
      <c r="B66" t="str">
        <v>Công Sản Xuất + Lắp Đặt (VNĐ)</v>
      </c>
    </row>
    <row r="67">
      <c r="B67" t="str">
        <v>Tổng (chưa tính hao hụt nhôm)</v>
      </c>
      <c r="F67">
        <f>SUM(F61:F66)</f>
        <v>2629648.141</v>
      </c>
    </row>
  </sheetData>
  <mergeCells count="1">
    <mergeCell ref="B2:G2"/>
  </mergeCells>
  <pageMargins left="0.7" right="0.7" top="0.75" bottom="0.75" header="0.3" footer="0.3"/>
  <ignoredErrors>
    <ignoredError numberStoredAsText="1" sqref="A1:J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B50</v>
      </c>
      <c r="D2" t="str">
        <v>B55</v>
      </c>
      <c r="E2" t="str">
        <v>B59</v>
      </c>
    </row>
    <row r="3">
      <c r="A3" t="str">
        <v>C12</v>
      </c>
      <c r="B3" t="str">
        <v>G47</v>
      </c>
      <c r="C3" t="str">
        <v>G52</v>
      </c>
      <c r="D3" t="str">
        <v>E56</v>
      </c>
      <c r="E3" t="str">
        <v>F67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F67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2025-07-08T03:12:52Z</dcterms:modified>
  <cp:lastModifiedBy>Mso25381</cp:lastModifiedBy>
  <cp:lastPrinted>2014-12-05T03:23:20Z</cp:lastPrinted>
  <dc:creator>Windows User</dc:creator>
</cp:coreProperties>
</file>