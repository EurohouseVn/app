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 standalone="yes"?>
<workbook xmlns="http://schemas.openxmlformats.org/spreadsheetml/2006/main" xmlns:r="http://schemas.openxmlformats.org/officeDocument/2006/relationships"><workbookPr codeName="ThisWorkbook" defaultThemeVersion="124226"/><sheets><sheet name="CDMQ2C" sheetId="1" r:id="rId1"/><sheet name="TSS1" sheetId="2" r:id="rId2"/></sheets><definedNames><definedName name="AllSh">SUBSTITUTE(ShN,"["&Wb&"]","")</definedName><definedName name="EP08E">'[1]gia vat tu'!$D$13</definedName><definedName name="EP265K">'[1]gia vat tu'!$D$16</definedName><definedName name="EP27E">'[1]gia vat tu'!$D$14</definedName><definedName name="Glass" localSheetId="0">[2]Glass!$B$8:$B$17</definedName><definedName name="Henhom" localSheetId="0">[2]Alu!$D$91:$D$95</definedName><definedName name="K_Inox">'[1]gia vat tu'!$D$21</definedName><definedName name="Keo_bot">'[1]gia vat tu'!$D$20</definedName><definedName name="kinh">#REF!</definedName><definedName name="MA_CSMQXF55">[2]Alu!$B$33:$B$48</definedName><definedName name="SiK">'[1]gia vat tu'!$D$18</definedName><definedName name="SiT">'[1]gia vat tu'!$D$19</definedName><definedName name="VIT_Inox">'[1]gia vat tu'!$D$24</definedName><definedName name="vitri">[2]Alu!$D$97:$D$109</definedName><definedName name="VT_PHU" localSheetId="0">[2]Phụ!$B$2:$B$14</definedName></definedNames></workbook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&quot;H2=&quot;0"/>
    <numFmt numFmtId="166" formatCode="_(* #,##0.0_);_(* \(#,##0.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"/>
  <sheetViews>
    <sheetView workbookViewId="0"/>
  </sheetViews>
  <sheetData>
    <row r="2">
      <c r="B2" t="str">
        <v>BẢN VẼ SẢN XUẤT BOSSOVN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D1</v>
      </c>
      <c r="F4" t="str">
        <v>Giá nhôm (VNĐ/Kg)</v>
      </c>
      <c r="G4">
        <v>90000</v>
      </c>
      <c r="H4" t="str">
        <v>Cửa đi mở quay 1 cánh + Vách</v>
      </c>
    </row>
    <row r="5">
      <c r="B5" t="str">
        <v>Rộng Cửa (B) (mm)</v>
      </c>
      <c r="C5">
        <v>900</v>
      </c>
      <c r="F5" t="str">
        <v>Giá kính (VNĐ/m2)</v>
      </c>
      <c r="G5">
        <v>245000</v>
      </c>
      <c r="H5">
        <f>C10</f>
        <v>1</v>
      </c>
      <c r="I5">
        <f>C13</f>
        <v>2.34</v>
      </c>
    </row>
    <row r="6">
      <c r="B6" t="str">
        <v>Cao Cửa (H) (mm)</v>
      </c>
      <c r="C6">
        <v>2600</v>
      </c>
      <c r="F6" t="str">
        <v>(1)-Cánh cửa đi ngậm khung</v>
      </c>
      <c r="G6">
        <v>7</v>
      </c>
    </row>
    <row r="7">
      <c r="B7" t="str">
        <v>H1 (mm)</v>
      </c>
      <c r="C7">
        <v>2200</v>
      </c>
      <c r="F7" t="str">
        <v>(2)-Cánh cửa sổ ngậm khung</v>
      </c>
      <c r="G7">
        <v>7</v>
      </c>
    </row>
    <row r="8">
      <c r="B8" t="str">
        <v>Hở chân cánh (mm)</v>
      </c>
      <c r="C8">
        <v>7</v>
      </c>
      <c r="F8" t="str">
        <v>(3)-Khe hở giữa cửa đi 2 (4) cánh</v>
      </c>
      <c r="G8">
        <v>5</v>
      </c>
    </row>
    <row r="9">
      <c r="B9" t="str">
        <v>Loại kính</v>
      </c>
      <c r="C9">
        <v>6</v>
      </c>
      <c r="F9" t="str">
        <v>(4)-Khe hở cánh cửa đi 4 cánh</v>
      </c>
      <c r="G9">
        <v>5</v>
      </c>
    </row>
    <row r="10">
      <c r="B10" t="str">
        <v>Số bộ</v>
      </c>
      <c r="C10">
        <v>1</v>
      </c>
      <c r="F10" t="str">
        <v>(5)-Khe hở giữa cửa sổ 2 cánh</v>
      </c>
      <c r="G10">
        <v>5</v>
      </c>
    </row>
    <row r="11">
      <c r="B11" t="str">
        <v>Giá nhôm (VNĐ/Kg)</v>
      </c>
      <c r="C11">
        <v>90000</v>
      </c>
      <c r="F11" t="str">
        <v>(6)-Cánh cửa trượt ngậm khung</v>
      </c>
      <c r="G11">
        <v>8</v>
      </c>
    </row>
    <row r="12">
      <c r="B12" t="str">
        <v>Giá kính (VNĐ/m2)</v>
      </c>
      <c r="C12">
        <v>245000</v>
      </c>
      <c r="F12" t="str">
        <v>(7)-Khe hở kính</v>
      </c>
      <c r="G12">
        <v>8</v>
      </c>
    </row>
    <row r="13">
      <c r="B13" t="str">
        <v>Diện tích/bộ</v>
      </c>
      <c r="C13">
        <f>C5*C6/10^6</f>
        <v>2.34</v>
      </c>
      <c r="F13" t="str">
        <v>(8)-Cao khung mở quay (tính cánh)</v>
      </c>
      <c r="G13">
        <v>31</v>
      </c>
    </row>
    <row r="14">
      <c r="B14" t="str">
        <v>Tổng diện tích</v>
      </c>
      <c r="C14">
        <f>C13*C10</f>
        <v>2.34</v>
      </c>
      <c r="F14" t="str">
        <v>(9)-Cao khung mở quay (tính đố)</v>
      </c>
      <c r="G14">
        <v>19</v>
      </c>
    </row>
    <row r="15">
      <c r="F15" t="str">
        <v>(10)-Cao đố chia vách (tính cánh)</v>
      </c>
      <c r="G15">
        <v>38.5</v>
      </c>
    </row>
    <row r="16">
      <c r="F16" t="str">
        <v>(11)-Cao đố chia vách (tính đố)</v>
      </c>
      <c r="G16">
        <v>15</v>
      </c>
    </row>
    <row r="17">
      <c r="F17" t="str">
        <v>(12)-Cao cánh cửa đi (tính kính)</v>
      </c>
      <c r="G17">
        <v>68</v>
      </c>
    </row>
    <row r="18">
      <c r="F18" t="str">
        <v>(13)-Cao cánh cửa đi (tính đố cánh)</v>
      </c>
      <c r="G18">
        <v>73</v>
      </c>
    </row>
    <row r="19">
      <c r="F19" t="str">
        <v>(14)-Cao đố cánh cửa đi</v>
      </c>
      <c r="G19">
        <v>46</v>
      </c>
    </row>
    <row r="20">
      <c r="F20" t="str">
        <v>(15)-Cao cánh cửa sổ (tính kính)</v>
      </c>
      <c r="G20">
        <v>54</v>
      </c>
    </row>
    <row r="21">
      <c r="F21" t="str">
        <v>(16)-Cao nẹp (tính nẹp vách)</v>
      </c>
      <c r="G21">
        <v>19</v>
      </c>
      <c r="H21">
        <v>19</v>
      </c>
    </row>
    <row r="22">
      <c r="F22" t="str">
        <v>(17)-Cao khung cửa trượt</v>
      </c>
      <c r="G22">
        <v>44</v>
      </c>
    </row>
    <row r="23">
      <c r="F23" t="str">
        <v>(18)-Cao cánh cửa trượt (tính cánh)</v>
      </c>
      <c r="G23">
        <v>58.4</v>
      </c>
    </row>
    <row r="24">
      <c r="F24" t="str">
        <v>(19)-Cao cánh cửa trượt (tính kính)</v>
      </c>
      <c r="G24">
        <v>43</v>
      </c>
    </row>
    <row r="25">
      <c r="F25" t="str">
        <v>(20)-Chiều dày hèm đối đầu cửa trượt</v>
      </c>
      <c r="G25">
        <v>2</v>
      </c>
    </row>
    <row r="26">
      <c r="F26" t="str">
        <v>(21)-Chiều dày thanh nối khung</v>
      </c>
      <c r="G26">
        <v>2</v>
      </c>
    </row>
    <row r="27">
      <c r="F27" t="str">
        <v>Khung cửa mở quay (kg/m)</v>
      </c>
      <c r="G27">
        <v>0.736</v>
      </c>
    </row>
    <row r="28">
      <c r="F28" t="str">
        <v>Đố chia khung (kg/m)</v>
      </c>
      <c r="G28">
        <v>0.867</v>
      </c>
    </row>
    <row r="29">
      <c r="F29" t="str">
        <v>Cánh cửa sổ quay (kg/m)</v>
      </c>
      <c r="G29">
        <v>0.93</v>
      </c>
    </row>
    <row r="30">
      <c r="F30" t="str">
        <v>Cánh đi mở quay (kg/m)</v>
      </c>
      <c r="G30">
        <v>1.029</v>
      </c>
    </row>
    <row r="31">
      <c r="F31" t="str">
        <v>Đố cánh cửa đi (kg/m)</v>
      </c>
      <c r="G31">
        <v>1.073</v>
      </c>
    </row>
    <row r="32">
      <c r="F32" t="str">
        <v>Đố động (kg/m)</v>
      </c>
      <c r="G32">
        <v>0.523</v>
      </c>
    </row>
    <row r="33">
      <c r="F33" t="str">
        <v>Ốp đáy (kg/m)</v>
      </c>
      <c r="G33">
        <v>0.267</v>
      </c>
    </row>
    <row r="34">
      <c r="F34" t="str">
        <v>Nẹp vách (kg/m)</v>
      </c>
      <c r="G34">
        <v>0.259</v>
      </c>
    </row>
    <row r="35">
      <c r="F35" t="str">
        <v>Nối khung (kg/m)</v>
      </c>
      <c r="G35">
        <v>0.306</v>
      </c>
    </row>
    <row r="36">
      <c r="F36" t="str">
        <v>Khung cửa trượt (kg/m)</v>
      </c>
      <c r="G36">
        <v>0.8</v>
      </c>
    </row>
    <row r="37">
      <c r="F37" t="str">
        <v>Cánh cửa trượt (kg/m)</v>
      </c>
      <c r="G37">
        <v>0.683</v>
      </c>
    </row>
    <row r="38">
      <c r="F38" t="str">
        <v>Móc cánh cửa trượt (kg/m)</v>
      </c>
      <c r="G38">
        <v>0.256</v>
      </c>
    </row>
    <row r="39">
      <c r="F39" t="str">
        <v>Hèm đối đầu (kg/m)</v>
      </c>
      <c r="G39">
        <v>0.402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TJ55-Khung cửa mở quay</v>
      </c>
      <c r="C46" t="str">
        <v>Ngang trên</v>
      </c>
      <c r="D46" t="str">
        <v>TTS-TJ31</v>
      </c>
      <c r="E46" t="str">
        <v>45-45</v>
      </c>
      <c r="F46">
        <f>$C$10*J46</f>
        <v>1</v>
      </c>
      <c r="G46">
        <f>C5</f>
        <v>900</v>
      </c>
      <c r="H46">
        <f>$G$27</f>
        <v>0.736</v>
      </c>
      <c r="I46">
        <f>F46*G46*H46/1000</f>
        <v>0.6624</v>
      </c>
      <c r="J46">
        <v>1</v>
      </c>
    </row>
    <row r="47">
      <c r="B47" t="str">
        <v>TJ55-Khung cửa mở quay</v>
      </c>
      <c r="C47" t="str">
        <v>Đứng</v>
      </c>
      <c r="D47" t="str">
        <v>TTS-TJ31</v>
      </c>
      <c r="E47" t="str">
        <v>90-45-90</v>
      </c>
      <c r="F47">
        <f>$C$10*J47</f>
        <v>2</v>
      </c>
      <c r="G47">
        <f>C7</f>
        <v>2200</v>
      </c>
      <c r="H47">
        <f>$G$27</f>
        <v>0.736</v>
      </c>
      <c r="I47">
        <f>F47*G47*H47/1000</f>
        <v>3.2384</v>
      </c>
      <c r="J47">
        <v>2</v>
      </c>
    </row>
    <row r="48">
      <c r="B48" t="str">
        <v>TJ55-Cánh đi mở quay</v>
      </c>
      <c r="C48" t="str">
        <v>Ngang</v>
      </c>
      <c r="D48" t="str">
        <v>TTS-TJ37</v>
      </c>
      <c r="E48" t="str">
        <v>45-45</v>
      </c>
      <c r="F48">
        <f>$C$10*J48</f>
        <v>2</v>
      </c>
      <c r="G48">
        <f>G46-G13*2+G6*2</f>
        <v>852</v>
      </c>
      <c r="H48">
        <f>$G$30</f>
        <v>1.029</v>
      </c>
      <c r="I48">
        <f>F48*G48*H48/1000</f>
        <v>1.7534159999999999</v>
      </c>
      <c r="J48">
        <v>2</v>
      </c>
    </row>
    <row r="49">
      <c r="B49" t="str">
        <v>TJ55-Cánh đi mở quay</v>
      </c>
      <c r="C49" t="str">
        <v>Đứng</v>
      </c>
      <c r="D49" t="str">
        <v>TTS-TJ37</v>
      </c>
      <c r="E49" t="str">
        <v>45-45</v>
      </c>
      <c r="F49">
        <f>$C$10*J49</f>
        <v>2</v>
      </c>
      <c r="G49">
        <f>G47-G13+G6-C8</f>
        <v>2169</v>
      </c>
      <c r="H49">
        <f>$G$30</f>
        <v>1.029</v>
      </c>
      <c r="I49">
        <f>F49*G49*H49/1000</f>
        <v>4.463801999999999</v>
      </c>
      <c r="J49">
        <v>2</v>
      </c>
    </row>
    <row r="50">
      <c r="B50" t="str">
        <v>TJ55-Ốp đáy</v>
      </c>
      <c r="C50" t="str">
        <v>Ngang</v>
      </c>
      <c r="D50" t="str">
        <v>TTS-TJ13</v>
      </c>
      <c r="E50" t="str">
        <v>90-90</v>
      </c>
      <c r="F50">
        <f>$C$10*J50</f>
        <v>1</v>
      </c>
      <c r="G50">
        <f>G48-H21*2</f>
        <v>814</v>
      </c>
      <c r="H50">
        <f>$G$33</f>
        <v>0.267</v>
      </c>
      <c r="I50">
        <f>F50*G50*H50/1000</f>
        <v>0.21733800000000003</v>
      </c>
      <c r="J50">
        <v>1</v>
      </c>
    </row>
    <row r="51">
      <c r="B51" t="str">
        <v>TJ55-Nối khung</v>
      </c>
      <c r="C51" t="str">
        <v>Ngang</v>
      </c>
      <c r="D51" t="str">
        <v>TTS-TJ83</v>
      </c>
      <c r="E51" t="str">
        <v>90-90</v>
      </c>
      <c r="F51">
        <f>$C$10*J51</f>
        <v>1</v>
      </c>
      <c r="G51">
        <f>C5</f>
        <v>900</v>
      </c>
      <c r="H51">
        <f>$G$35</f>
        <v>0.306</v>
      </c>
      <c r="I51">
        <f>F51*G51*H51/1000</f>
        <v>0.2754</v>
      </c>
      <c r="J51">
        <v>1</v>
      </c>
    </row>
    <row r="52">
      <c r="B52" t="str">
        <v>TJ55-Khung cửa mở quay</v>
      </c>
      <c r="C52" t="str">
        <v>Ngang</v>
      </c>
      <c r="D52" t="str">
        <v>TTS-TJ31</v>
      </c>
      <c r="E52" t="str">
        <v>45-45</v>
      </c>
      <c r="F52">
        <f>$C$10*J52</f>
        <v>2</v>
      </c>
      <c r="G52">
        <f>G46</f>
        <v>900</v>
      </c>
      <c r="H52">
        <f>$G$27</f>
        <v>0.736</v>
      </c>
      <c r="I52">
        <f>F52*G52*H52/1000</f>
        <v>1.3248</v>
      </c>
      <c r="J52">
        <v>2</v>
      </c>
    </row>
    <row r="53">
      <c r="B53" t="str">
        <v>TJ55-Khung cửa mở quay</v>
      </c>
      <c r="C53" t="str">
        <v>Đứng</v>
      </c>
      <c r="D53" t="str">
        <v>TTS-TJ31</v>
      </c>
      <c r="E53" t="str">
        <v>45-45</v>
      </c>
      <c r="F53">
        <f>$C$10*J53</f>
        <v>2</v>
      </c>
      <c r="G53">
        <f>C6-C7-$G$26</f>
        <v>398</v>
      </c>
      <c r="H53">
        <f>$G$27</f>
        <v>0.736</v>
      </c>
      <c r="I53">
        <f>F53*G53*H53/1000</f>
        <v>0.585856</v>
      </c>
      <c r="J53">
        <v>2</v>
      </c>
    </row>
    <row r="54">
      <c r="B54" t="str">
        <v>TJ55-Nẹp vách</v>
      </c>
      <c r="C54" t="str">
        <v>Ngang</v>
      </c>
      <c r="D54" t="str">
        <v>TTS-TJ86</v>
      </c>
      <c r="E54" t="str">
        <v>90-90</v>
      </c>
      <c r="F54">
        <f>$C$10*J54</f>
        <v>2</v>
      </c>
      <c r="G54">
        <f>G52-$G$13*2</f>
        <v>838</v>
      </c>
      <c r="H54">
        <f>$G$34</f>
        <v>0.259</v>
      </c>
      <c r="I54">
        <f>F54*G54*H54/1000</f>
        <v>0.434084</v>
      </c>
      <c r="J54">
        <v>2</v>
      </c>
    </row>
    <row r="55">
      <c r="B55" t="str">
        <v>TJ55-Nẹp vách</v>
      </c>
      <c r="C55" t="str">
        <v>Đứng</v>
      </c>
      <c r="D55" t="str">
        <v>TTS-TJ86</v>
      </c>
      <c r="E55" t="str">
        <v>90-90</v>
      </c>
      <c r="F55">
        <f>$C$10*J55</f>
        <v>2</v>
      </c>
      <c r="G55">
        <f>G53-$G$13*2-$G$21*2</f>
        <v>298</v>
      </c>
      <c r="H55">
        <f>$G$34</f>
        <v>0.259</v>
      </c>
      <c r="I55">
        <f>F55*G55*H55/1000</f>
        <v>0.154364</v>
      </c>
      <c r="J55">
        <v>2</v>
      </c>
    </row>
    <row r="58">
      <c r="B58" t="str">
        <v>KÍCH THƯỚC CẮT KÍNH</v>
      </c>
    </row>
    <row r="59">
      <c r="B59" t="str">
        <v>Tên kính</v>
      </c>
      <c r="C59" t="str">
        <v>Rộng</v>
      </c>
      <c r="D59" t="str">
        <v>Cao</v>
      </c>
      <c r="E59" t="str">
        <v>Số lượng</v>
      </c>
      <c r="F59" t="str">
        <v>Diện tích kính (m2)</v>
      </c>
      <c r="G59" t="str">
        <v>Vị trí</v>
      </c>
    </row>
    <row r="60">
      <c r="B60">
        <f>C9</f>
        <v>6</v>
      </c>
      <c r="C60">
        <f>G48-G17*2-G12</f>
        <v>708</v>
      </c>
      <c r="D60">
        <f>G49-G17*2-G12</f>
        <v>2025</v>
      </c>
      <c r="E60">
        <f>1*C10</f>
        <v>1</v>
      </c>
      <c r="F60">
        <f>E60*D60*C60/10^6</f>
        <v>1.4337</v>
      </c>
      <c r="G60" t="str">
        <v>cánh</v>
      </c>
    </row>
    <row r="61">
      <c r="B61">
        <f>C9</f>
        <v>6</v>
      </c>
      <c r="C61">
        <f>G52-$G$13*2-$G$12</f>
        <v>830</v>
      </c>
      <c r="D61">
        <f>G53-$G$13*2-$G$12</f>
        <v>328</v>
      </c>
      <c r="E61">
        <f>1*C10</f>
        <v>1</v>
      </c>
      <c r="F61">
        <f>E61*D61*C61/10^6</f>
        <v>0.27224</v>
      </c>
      <c r="G61" t="str">
        <v>vách</v>
      </c>
    </row>
    <row r="64">
      <c r="B64" t="str">
        <v>PHỤ KIỆN</v>
      </c>
      <c r="C64" t="str">
        <v>đi 1 cánh</v>
      </c>
    </row>
    <row r="65">
      <c r="B65" t="str">
        <v>Tên</v>
      </c>
      <c r="C65" t="str">
        <v>Mã</v>
      </c>
      <c r="D65" t="str">
        <v>ĐVT</v>
      </c>
      <c r="E65" t="str">
        <v>Số lượng</v>
      </c>
    </row>
    <row r="66">
      <c r="B66" t="str">
        <v>Bản lề cửa đi BOSS</v>
      </c>
      <c r="C66" t="str">
        <v>BOSS-DBL</v>
      </c>
      <c r="D66" t="str">
        <v>Chiếc</v>
      </c>
      <c r="E66">
        <f>H66*$H$5</f>
        <v>3</v>
      </c>
      <c r="H66">
        <v>3</v>
      </c>
    </row>
    <row r="67">
      <c r="B67" t="str">
        <v>Bộ khóa đa điểm cửa đi BOSS</v>
      </c>
      <c r="C67" t="str">
        <v>BOSS-DKDD</v>
      </c>
      <c r="D67" t="str">
        <v>Bộ</v>
      </c>
      <c r="E67">
        <f>H67*$H$5</f>
        <v>1</v>
      </c>
      <c r="H67">
        <v>1</v>
      </c>
    </row>
    <row r="68">
      <c r="B68" t="str">
        <v>Đầu khóa biên cao cửa đi BOSS</v>
      </c>
      <c r="C68" t="str">
        <v>BOSS-DKBC</v>
      </c>
      <c r="D68" t="str">
        <v>Chiếc</v>
      </c>
      <c r="E68">
        <f>H68*$H$5</f>
        <v>2</v>
      </c>
      <c r="H68">
        <v>2</v>
      </c>
    </row>
    <row r="69">
      <c r="B69" t="str">
        <v>Vấu 1 cánh cửa đi BOSS</v>
      </c>
      <c r="C69" t="str">
        <v>BOSS-DV</v>
      </c>
      <c r="D69" t="str">
        <v>Chiếc</v>
      </c>
      <c r="E69">
        <f>H69*$H$5</f>
        <v>2</v>
      </c>
      <c r="H69">
        <v>2</v>
      </c>
    </row>
    <row r="70">
      <c r="B70" t="str">
        <v>Nắp bịt chân cánh cửa đi BOSS</v>
      </c>
      <c r="C70" t="str">
        <v>BOSS-DBC</v>
      </c>
      <c r="D70" t="str">
        <v>Cặp</v>
      </c>
      <c r="E70">
        <f>H70*$H$5</f>
        <v>1</v>
      </c>
      <c r="H70">
        <v>1</v>
      </c>
    </row>
    <row r="71">
      <c r="B71" t="str">
        <v>Ke nhảy khung mở quay BOSS</v>
      </c>
      <c r="C71" t="str">
        <v>BOSS-KNK</v>
      </c>
      <c r="D71" t="str">
        <v>Chiếc</v>
      </c>
      <c r="E71">
        <f>H71*$H$5</f>
        <v>6</v>
      </c>
      <c r="H71">
        <v>6</v>
      </c>
    </row>
    <row r="72">
      <c r="B72" t="str">
        <v>Ke nhảy cánh đi mở quay BOSS</v>
      </c>
      <c r="C72" t="str">
        <v>BOSS-DKNC</v>
      </c>
      <c r="D72" t="str">
        <v>Chiếc</v>
      </c>
      <c r="E72">
        <f>H72*$H$5</f>
        <v>4</v>
      </c>
      <c r="H72">
        <v>4</v>
      </c>
    </row>
    <row r="73">
      <c r="B73" t="str">
        <v>Ke tăng cứng BOSS</v>
      </c>
      <c r="C73" t="str">
        <v>BOSS-KTC</v>
      </c>
      <c r="D73" t="str">
        <v>Chiếc</v>
      </c>
      <c r="E73">
        <f>H73*$H$5</f>
        <v>4</v>
      </c>
      <c r="H73">
        <v>4</v>
      </c>
    </row>
    <row r="76">
      <c r="B76" t="str">
        <v>BẢNG TÍNH GIÁ THÀNH</v>
      </c>
    </row>
    <row r="77">
      <c r="B77" t="str">
        <v>Tên gọi</v>
      </c>
      <c r="C77" t="str">
        <v>Đơn vị tính</v>
      </c>
      <c r="D77" t="str">
        <v>Số lượng</v>
      </c>
      <c r="E77" t="str">
        <v>Đơn giá</v>
      </c>
      <c r="F77" t="str">
        <v>Thành tiền</v>
      </c>
    </row>
    <row r="78">
      <c r="B78" t="str">
        <v>Nhôm (VNĐ)</v>
      </c>
      <c r="C78" t="str">
        <v>Kg</v>
      </c>
      <c r="D78">
        <f>SUM(I46:I55)</f>
        <v>13.109859999999998</v>
      </c>
      <c r="E78">
        <f>C11</f>
        <v>90000</v>
      </c>
      <c r="F78">
        <f>E78*D78</f>
        <v>1179887.3999999997</v>
      </c>
    </row>
    <row r="79">
      <c r="B79" t="str">
        <v>Kính (VNĐ)</v>
      </c>
      <c r="C79" t="str">
        <v>m2</v>
      </c>
      <c r="D79">
        <f>SUM(F60:F61)</f>
        <v>1.70594</v>
      </c>
      <c r="E79">
        <f>C12</f>
        <v>245000</v>
      </c>
      <c r="F79">
        <f>E79*D79</f>
        <v>417955.3</v>
      </c>
    </row>
    <row r="80">
      <c r="B80" t="str">
        <v>Phụ Kiện (tự nhập) (VNĐ)</v>
      </c>
    </row>
    <row r="81">
      <c r="B81" t="str">
        <v>Vật Tư Phụ (tự nhập) (VNĐ)</v>
      </c>
    </row>
    <row r="82">
      <c r="B82" t="str">
        <v>Công Sản Xuất + Lắp Đặt (VNĐ)</v>
      </c>
    </row>
    <row r="83">
      <c r="B83" t="str">
        <v>Tổng (chưa tính hao hụt nhôm)</v>
      </c>
      <c r="F83">
        <f>SUM(F78:F82)</f>
        <v>1597842.6999999997</v>
      </c>
    </row>
  </sheetData>
  <mergeCells count="1">
    <mergeCell ref="B2:G2"/>
  </mergeCells>
  <pageMargins left="0.7" right="0.7" top="0.75" bottom="0.75" header="0.3" footer="0.3"/>
  <ignoredErrors>
    <ignoredError numberStoredAsText="1" sqref="A1:J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B58</v>
      </c>
      <c r="D2" t="str">
        <v>B64</v>
      </c>
      <c r="E2" t="str">
        <v>B76</v>
      </c>
    </row>
    <row r="3">
      <c r="A3" t="str">
        <v>C12</v>
      </c>
      <c r="B3" t="str">
        <v>G55</v>
      </c>
      <c r="C3" t="str">
        <v>G61</v>
      </c>
      <c r="D3" t="str">
        <v>E73</v>
      </c>
      <c r="E3" t="str">
        <v>F83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F83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CDMQ2C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2019-04-17T13:24:52Z</dcterms:modified>
  <cp:lastModifiedBy>Windows User</cp:lastModifiedBy>
  <cp:lastPrinted>2014-12-05T03:23:20Z</cp:lastPrinted>
  <dc:creator>Windows User</dc:creator>
</cp:coreProperties>
</file>