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SMQ2C (2)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.00_);_(* \(#,##0.00\);_(* &quot;-&quot;??_);_(@_)"/>
    <numFmt numFmtId="165" formatCode="_(* #,##0_);_(* \(#,##0\);_(* &quot;-&quot;??_);_(@_)"/>
    <numFmt numFmtId="166" formatCode="&quot;H2=&quot;0"/>
    <numFmt numFmtId="167" formatCode="_(* #,##0.0_);_(* \(#,##0.0\);_(* &quot;-&quot;??_);_(@_)"/>
    <numFmt numFmtId="168" formatCode="0.0000"/>
    <numFmt numFmtId="169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"/>
  <sheetViews>
    <sheetView workbookViewId="0" rightToLeft="0"/>
  </sheetViews>
  <sheetData>
    <row r="2">
      <c r="B2" t="str">
        <v>BẢN VẼ SẢN XUẤT XINGFA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S3.2</v>
      </c>
      <c r="F4" t="str">
        <v>Giá nhôm (VNĐ/Kg)</v>
      </c>
      <c r="G4">
        <v>98000</v>
      </c>
      <c r="H4" t="str">
        <v>Cửa sổ mở quay (hất) 5 cánh</v>
      </c>
    </row>
    <row r="5">
      <c r="B5" t="str">
        <v>Rộng Cửa (B) (mm)</v>
      </c>
      <c r="C5">
        <v>1900</v>
      </c>
      <c r="F5" t="str">
        <v>Giá kính (VNĐ/m2)</v>
      </c>
      <c r="G5">
        <v>245000</v>
      </c>
      <c r="H5">
        <f>C9</f>
        <v>1</v>
      </c>
      <c r="I5">
        <f>C12</f>
        <v>3.42</v>
      </c>
    </row>
    <row r="6">
      <c r="B6" t="str">
        <v>Cao Cửa (H) (mm)</v>
      </c>
      <c r="C6">
        <v>1800</v>
      </c>
      <c r="F6" t="str">
        <v>(1)-Cánh cửa đi ngậm khung</v>
      </c>
      <c r="G6">
        <v>7</v>
      </c>
    </row>
    <row r="7">
      <c r="B7" t="str">
        <v>H1 (mm)</v>
      </c>
      <c r="C7">
        <v>1350</v>
      </c>
      <c r="F7" t="str">
        <v>(2)-Cánh cửa sổ ngậm khung</v>
      </c>
      <c r="G7">
        <v>6</v>
      </c>
    </row>
    <row r="8">
      <c r="B8" t="str">
        <v>Loại kính</v>
      </c>
      <c r="C8">
        <v>6</v>
      </c>
      <c r="F8" t="str">
        <v>(3)-Khe hở giữa cửa đi 2 (4) cánh</v>
      </c>
      <c r="G8">
        <v>5</v>
      </c>
    </row>
    <row r="9">
      <c r="B9" t="str">
        <v>Số bộ</v>
      </c>
      <c r="C9">
        <v>1</v>
      </c>
      <c r="F9" t="str">
        <v>(4)-Khe hở cánh cửa đi 4 cánh</v>
      </c>
      <c r="G9">
        <v>5</v>
      </c>
    </row>
    <row r="10">
      <c r="B10" t="str">
        <v>Giá nhôm (VNĐ/Kg)</v>
      </c>
      <c r="C10">
        <v>98000</v>
      </c>
      <c r="D10">
        <f>C17</f>
        <v>637.5</v>
      </c>
      <c r="E10">
        <f>(C5-C17*2)/2</f>
        <v>312.5</v>
      </c>
      <c r="F10" t="str">
        <v>(5)-Khe hở giữa cửa sổ 2 cánh</v>
      </c>
      <c r="G10">
        <v>5</v>
      </c>
    </row>
    <row r="11">
      <c r="B11" t="str">
        <v>Giá kính (VNĐ/m2)</v>
      </c>
      <c r="C11">
        <v>245000</v>
      </c>
      <c r="F11" t="str">
        <v>C3328- Khung cửa đi quay (kg/m)</v>
      </c>
      <c r="G11">
        <v>1.257</v>
      </c>
    </row>
    <row r="12">
      <c r="B12" t="str">
        <v>Diện tích/bộ</v>
      </c>
      <c r="C12">
        <f>C5*C6/10^6</f>
        <v>3.42</v>
      </c>
      <c r="F12" t="str">
        <v>C3318- Khung cửa sổ quay (kg/m)</v>
      </c>
      <c r="G12">
        <v>0.876</v>
      </c>
    </row>
    <row r="13">
      <c r="B13" t="str">
        <v>Tổng diện tích</v>
      </c>
      <c r="C13">
        <f>C12*C9</f>
        <v>3.42</v>
      </c>
      <c r="F13" t="str">
        <v>C3209- Khung vách (kg/m)</v>
      </c>
      <c r="G13">
        <v>0.802</v>
      </c>
    </row>
    <row r="14">
      <c r="E14">
        <f>C5</f>
        <v>1900</v>
      </c>
      <c r="F14" t="str">
        <v>C3313- Đố chia khung mở quay (kg/m)</v>
      </c>
      <c r="G14">
        <v>1.01</v>
      </c>
    </row>
    <row r="15">
      <c r="F15" t="str">
        <v>C3203- Đố chia cánh, vách (kg/m)</v>
      </c>
      <c r="G15">
        <v>0.95</v>
      </c>
    </row>
    <row r="16">
      <c r="F16" t="str">
        <v>C3303- Cánh đi mở quay (kg/m)</v>
      </c>
      <c r="G16">
        <v>1.441</v>
      </c>
    </row>
    <row r="17">
      <c r="B17" t="str">
        <v>B1 (mm)</v>
      </c>
      <c r="C17">
        <f>(C5-31*2-37*2)/3+31+37/2</f>
        <v>637.5</v>
      </c>
      <c r="F17" t="str">
        <v>C3304- Cánh ngang dưới Cđi (kg/m)</v>
      </c>
      <c r="G17">
        <v>2.023</v>
      </c>
    </row>
    <row r="18">
      <c r="F18" t="str">
        <v>C3323- Đố động cửa đi (kg/m)</v>
      </c>
      <c r="G18">
        <v>1.086</v>
      </c>
    </row>
    <row r="19">
      <c r="F19" t="str">
        <v>C3202- Cánh cửa sổ quay (kg/m)</v>
      </c>
      <c r="G19">
        <v>1.088</v>
      </c>
    </row>
    <row r="20">
      <c r="F20" t="str">
        <v>C3033- Đố động cửa sổ (kg/m)</v>
      </c>
      <c r="G20">
        <v>0.825</v>
      </c>
    </row>
    <row r="21">
      <c r="F21" t="str">
        <v>C3295- Nẹp cánh, vách (kg/m)</v>
      </c>
      <c r="G21">
        <v>0.271</v>
      </c>
    </row>
    <row r="22">
      <c r="F22" t="str">
        <v>C3296- Nẹp vách liền cửa (kg/m)</v>
      </c>
      <c r="G22">
        <v>0.237</v>
      </c>
    </row>
    <row r="23">
      <c r="F23" t="str">
        <v>C3329- Ốp chân cánh (kg/m)</v>
      </c>
      <c r="G23">
        <v>0.428</v>
      </c>
    </row>
    <row r="24">
      <c r="F24" t="str">
        <v>C3300- Nối khung (kg/m)</v>
      </c>
      <c r="G24">
        <v>0.347</v>
      </c>
    </row>
    <row r="25">
      <c r="F25" t="str">
        <v>D1541A- Khung trên cửa trượt (kg/m)</v>
      </c>
      <c r="G25">
        <v>1.436</v>
      </c>
    </row>
    <row r="26">
      <c r="F26" t="str">
        <v>D1942- khung dưới ray lệch 25-35 (kg/m)</v>
      </c>
      <c r="G26">
        <v>1.54</v>
      </c>
    </row>
    <row r="27">
      <c r="F27" t="str">
        <v>D1942A- khung dưới ray bằng 25 (kg/m)</v>
      </c>
      <c r="G27">
        <v>1.413</v>
      </c>
    </row>
    <row r="28">
      <c r="F28" t="str">
        <v>D1543A- Khung Đứng cửa trượt (kg/m)</v>
      </c>
      <c r="G28">
        <v>1.134</v>
      </c>
    </row>
    <row r="29">
      <c r="F29" t="str">
        <v>D1544A- Cánh trên H93A cửa trượt (kg/m)</v>
      </c>
      <c r="G29">
        <v>0.99</v>
      </c>
    </row>
    <row r="30">
      <c r="F30" t="str">
        <v>D1555A- Cánh dưới H93A cửa trượt (kg/m)</v>
      </c>
      <c r="G30">
        <v>1.243</v>
      </c>
    </row>
    <row r="31">
      <c r="F31" t="str">
        <v>D1546A- Cánh đứng H93A cửa trượt (kg/m)</v>
      </c>
      <c r="G31">
        <v>1.273</v>
      </c>
    </row>
    <row r="32">
      <c r="F32" t="str">
        <v>D1547A- Cánh móc H93A cửa trượt (kg/m)</v>
      </c>
      <c r="G32">
        <v>1.098</v>
      </c>
    </row>
    <row r="33">
      <c r="F33" t="str">
        <v>D1548A- Hèm đối đầu (kg/m)</v>
      </c>
      <c r="G33">
        <v>0.62</v>
      </c>
    </row>
    <row r="34">
      <c r="F34" t="str">
        <v>D1559A- Khung vách kính trượt (kg/m)</v>
      </c>
      <c r="G34">
        <v>1.035</v>
      </c>
    </row>
    <row r="35">
      <c r="F35" t="str">
        <v>D1549A- Ốp vách (kg/m)</v>
      </c>
      <c r="G35">
        <v>0.648</v>
      </c>
    </row>
    <row r="36">
      <c r="F36" t="str">
        <v>D2618- Đố T vách kính trượt (kg/m)</v>
      </c>
      <c r="G36">
        <v>1.486</v>
      </c>
    </row>
    <row r="37">
      <c r="F37" t="str">
        <v>C101- Sập vách cửa trượt (kg/m)</v>
      </c>
      <c r="G37">
        <v>0.133</v>
      </c>
    </row>
    <row r="38">
      <c r="F38" t="str">
        <v>XF- Khung cửa trượt 55 (kg/m)</v>
      </c>
      <c r="G38">
        <v>0.83</v>
      </c>
    </row>
    <row r="39">
      <c r="F39" t="str">
        <v>XF- Cánh cửa trượt 55 (kg/m)</v>
      </c>
      <c r="G39">
        <v>0.843</v>
      </c>
    </row>
    <row r="40">
      <c r="F40" t="str">
        <v>XF- Móc cánh cửa trượt 55 (kg/m)</v>
      </c>
      <c r="G40">
        <v>0.34</v>
      </c>
    </row>
    <row r="41">
      <c r="F41" t="str">
        <v>XF- Hèm đối đầu trượt 55 (kg/m)</v>
      </c>
      <c r="G41">
        <v>0.213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Khung cửa sổ quay</v>
      </c>
      <c r="C46" t="str">
        <v>Ngang</v>
      </c>
      <c r="D46" t="str">
        <v>HNA-C3318</v>
      </c>
      <c r="E46" t="str">
        <v>45-45</v>
      </c>
      <c r="F46">
        <f>$C$9*J46</f>
        <v>2</v>
      </c>
      <c r="G46">
        <f>C5</f>
        <v>1900</v>
      </c>
      <c r="H46">
        <f>$G$12</f>
        <v>0.876</v>
      </c>
      <c r="I46">
        <f>F46*G46*H46/1000</f>
        <v>3.3288</v>
      </c>
      <c r="J46">
        <v>2</v>
      </c>
    </row>
    <row r="47">
      <c r="B47" t="str">
        <v>Khung cửa sổ quay</v>
      </c>
      <c r="C47" t="str">
        <v>Đứng</v>
      </c>
      <c r="D47" t="str">
        <v>HNA-C3318</v>
      </c>
      <c r="E47" t="str">
        <v>45-45</v>
      </c>
      <c r="F47">
        <f>$C$9*J47</f>
        <v>2</v>
      </c>
      <c r="G47">
        <f>C6</f>
        <v>1800</v>
      </c>
      <c r="H47">
        <f>$G$12</f>
        <v>0.876</v>
      </c>
      <c r="I47">
        <f>F47*G47*H47/1000</f>
        <v>3.1536</v>
      </c>
      <c r="J47">
        <v>2</v>
      </c>
    </row>
    <row r="48">
      <c r="B48" t="str">
        <v>Đố chia khung mở quay</v>
      </c>
      <c r="C48" t="str">
        <v>Ngang</v>
      </c>
      <c r="D48" t="str">
        <v>HNA-K55-3313</v>
      </c>
      <c r="E48" t="str">
        <v>90-90</v>
      </c>
      <c r="F48">
        <f>$C$9*J48</f>
        <v>1</v>
      </c>
      <c r="G48">
        <f>G46+J62</f>
        <v>1860</v>
      </c>
      <c r="H48">
        <f>$G$14</f>
        <v>1.01</v>
      </c>
      <c r="I48">
        <f>F48*G48*H48/1000</f>
        <v>1.8785999999999998</v>
      </c>
      <c r="J48">
        <v>1</v>
      </c>
    </row>
    <row r="49">
      <c r="B49" t="str">
        <v>Đố chia khung mở quay</v>
      </c>
      <c r="C49" t="str">
        <v>Đứng</v>
      </c>
      <c r="D49" t="str">
        <v>HNA-K55-3313</v>
      </c>
      <c r="E49" t="str">
        <v>90-90</v>
      </c>
      <c r="F49">
        <f>$C$9*J49</f>
        <v>2</v>
      </c>
      <c r="G49">
        <f>C7+J63</f>
        <v>1322.5</v>
      </c>
      <c r="H49">
        <f>$G$14</f>
        <v>1.01</v>
      </c>
      <c r="I49">
        <f>F49*G49*H49/1000</f>
        <v>2.6714499999999997</v>
      </c>
      <c r="J49">
        <v>2</v>
      </c>
    </row>
    <row r="50">
      <c r="B50" t="str">
        <v>Đố chia khung mở quay</v>
      </c>
      <c r="C50" t="str">
        <v>Đứng</v>
      </c>
      <c r="D50" t="str">
        <v>HNA-K55-3313</v>
      </c>
      <c r="E50" t="str">
        <v>90-90</v>
      </c>
      <c r="F50">
        <f>$C$9*J50</f>
        <v>1</v>
      </c>
      <c r="G50">
        <f>C6-C7+J66</f>
        <v>422.5</v>
      </c>
      <c r="H50">
        <f>$G$14</f>
        <v>1.01</v>
      </c>
      <c r="I50">
        <f>F50*G50*H50/1000</f>
        <v>0.426725</v>
      </c>
      <c r="J50">
        <v>1</v>
      </c>
    </row>
    <row r="51">
      <c r="B51" t="str">
        <v>Cánh cửa sổ quay</v>
      </c>
      <c r="C51" t="str">
        <v>Ngang</v>
      </c>
      <c r="D51" t="str">
        <v>HNA-C3202F</v>
      </c>
      <c r="E51" t="str">
        <v>45-45</v>
      </c>
      <c r="F51">
        <f>$C$9*J51</f>
        <v>6</v>
      </c>
      <c r="G51">
        <f>C17-31-37/2+G7*2</f>
        <v>600</v>
      </c>
      <c r="H51">
        <f>$G$19</f>
        <v>1.088</v>
      </c>
      <c r="I51">
        <f>F51*G51*H51/1000</f>
        <v>3.9168000000000003</v>
      </c>
      <c r="J51">
        <v>6</v>
      </c>
    </row>
    <row r="52">
      <c r="B52" t="str">
        <v>Cánh cửa sổ quay</v>
      </c>
      <c r="C52" t="str">
        <v>Đứng</v>
      </c>
      <c r="D52" t="str">
        <v>HNA-C3202F</v>
      </c>
      <c r="E52" t="str">
        <v>45-45</v>
      </c>
      <c r="F52">
        <f>$C$9*J52</f>
        <v>6</v>
      </c>
      <c r="G52">
        <f>C7+J69-12+G7*2</f>
        <v>1312.5</v>
      </c>
      <c r="H52">
        <f>$G$19</f>
        <v>1.088</v>
      </c>
      <c r="I52">
        <f>F52*G52*H52/1000</f>
        <v>8.568</v>
      </c>
      <c r="J52">
        <v>6</v>
      </c>
    </row>
    <row r="53">
      <c r="B53" t="str">
        <v>Cánh cửa sổ quay</v>
      </c>
      <c r="C53" t="str">
        <v>Ngang</v>
      </c>
      <c r="D53" t="str">
        <v>HNA-C3202F</v>
      </c>
      <c r="E53" t="str">
        <v>45-45</v>
      </c>
      <c r="F53">
        <f>$C$9*J53</f>
        <v>4</v>
      </c>
      <c r="G53">
        <f>C5/2+J67-12+G7*2</f>
        <v>912.5</v>
      </c>
      <c r="H53">
        <f>$G$19</f>
        <v>1.088</v>
      </c>
      <c r="I53">
        <f>F53*G53*H53/1000</f>
        <v>3.9712</v>
      </c>
      <c r="J53">
        <v>4</v>
      </c>
    </row>
    <row r="54">
      <c r="B54" t="str">
        <v>Cánh cửa sổ quay</v>
      </c>
      <c r="C54" t="str">
        <v>Đứng</v>
      </c>
      <c r="D54" t="str">
        <v>HNA-C3202F</v>
      </c>
      <c r="E54" t="str">
        <v>45-45</v>
      </c>
      <c r="F54">
        <f>$C$9*J54</f>
        <v>4</v>
      </c>
      <c r="G54">
        <f>C6-C7+J69-12+G7*2</f>
        <v>412.5</v>
      </c>
      <c r="H54">
        <f>$G$19</f>
        <v>1.088</v>
      </c>
      <c r="I54">
        <f>F54*G54*H54/1000</f>
        <v>1.7952000000000001</v>
      </c>
      <c r="J54">
        <v>4</v>
      </c>
    </row>
    <row r="55">
      <c r="B55" t="str">
        <v>Nẹp cánh - vách</v>
      </c>
      <c r="C55" t="str">
        <v>Ngang</v>
      </c>
      <c r="D55" t="str">
        <v>HNA-C3295</v>
      </c>
      <c r="E55" t="str">
        <v>90-90</v>
      </c>
      <c r="F55">
        <f>$C$9*J55</f>
        <v>6</v>
      </c>
      <c r="G55">
        <f>G51+J71</f>
        <v>486</v>
      </c>
      <c r="H55">
        <f>$G$21</f>
        <v>0.271</v>
      </c>
      <c r="I55">
        <f>F55*G55*H55/1000</f>
        <v>0.790236</v>
      </c>
      <c r="J55">
        <v>6</v>
      </c>
    </row>
    <row r="56">
      <c r="B56" t="str">
        <v>Nẹp cánh - vách</v>
      </c>
      <c r="C56" t="str">
        <v>Đứng</v>
      </c>
      <c r="D56" t="str">
        <v>HNA-C3295</v>
      </c>
      <c r="E56" t="str">
        <v>90-90</v>
      </c>
      <c r="F56">
        <f>$C$9*J56</f>
        <v>6</v>
      </c>
      <c r="G56">
        <f>G52+J73</f>
        <v>1160.5</v>
      </c>
      <c r="H56">
        <f>$G$21</f>
        <v>0.271</v>
      </c>
      <c r="I56">
        <f>F56*G56*H56/1000</f>
        <v>1.8869730000000002</v>
      </c>
      <c r="J56">
        <v>6</v>
      </c>
    </row>
    <row r="57">
      <c r="B57" t="str">
        <v>Nẹp cánh - vách</v>
      </c>
      <c r="C57" t="str">
        <v>Ngang</v>
      </c>
      <c r="D57" t="str">
        <v>HNA-C3295</v>
      </c>
      <c r="E57" t="str">
        <v>90-90</v>
      </c>
      <c r="F57">
        <f>$C$9*J57</f>
        <v>4</v>
      </c>
      <c r="G57">
        <f>G53+J71</f>
        <v>798.5</v>
      </c>
      <c r="H57">
        <f>$G$22</f>
        <v>0.237</v>
      </c>
      <c r="I57">
        <f>F57*G57*H57/1000</f>
        <v>0.7569779999999999</v>
      </c>
      <c r="J57">
        <v>4</v>
      </c>
    </row>
    <row r="58">
      <c r="B58" t="str">
        <v>Nẹp cánh - vách</v>
      </c>
      <c r="C58" t="str">
        <v>Đứng</v>
      </c>
      <c r="D58" t="str">
        <v>HNA-C3295</v>
      </c>
      <c r="E58" t="str">
        <v>90-90</v>
      </c>
      <c r="F58">
        <f>$C$9*J58</f>
        <v>4</v>
      </c>
      <c r="G58">
        <f>G54+J73</f>
        <v>260.5</v>
      </c>
      <c r="H58">
        <f>$G$22</f>
        <v>0.237</v>
      </c>
      <c r="I58">
        <f>F58*G58*H58/1000</f>
        <v>0.24695399999999998</v>
      </c>
      <c r="J58">
        <v>4</v>
      </c>
    </row>
    <row r="59">
      <c r="B59" t="str">
        <v>Khoảng cách B1=</v>
      </c>
      <c r="C59" t="str">
        <v>Mép khung</v>
      </c>
      <c r="D59" t="str">
        <v>Tính cho cánh đều nhau</v>
      </c>
      <c r="E59" t="str">
        <v>Tim đố</v>
      </c>
      <c r="F59">
        <v>0</v>
      </c>
      <c r="G59">
        <f>C17</f>
        <v>637.5</v>
      </c>
    </row>
    <row r="62">
      <c r="B62" t="str">
        <v>KÍCH THƯỚC CẮT KÍNH</v>
      </c>
      <c r="J62">
        <v>-40</v>
      </c>
    </row>
    <row r="63">
      <c r="B63" t="str">
        <v>Tên kính</v>
      </c>
      <c r="C63" t="str">
        <v>Rộng</v>
      </c>
      <c r="D63" t="str">
        <v>Cao</v>
      </c>
      <c r="E63" t="str">
        <v>Số lượng</v>
      </c>
      <c r="F63" t="str">
        <v>Diện tích kính (m2)</v>
      </c>
      <c r="G63" t="str">
        <v>Vị trí</v>
      </c>
      <c r="J63">
        <v>-27.5</v>
      </c>
    </row>
    <row r="64">
      <c r="B64">
        <f>C8</f>
        <v>6</v>
      </c>
      <c r="C64">
        <f>G51+H64</f>
        <v>479</v>
      </c>
      <c r="D64">
        <f>G52+I64</f>
        <v>1191.5</v>
      </c>
      <c r="E64">
        <f>3*C9</f>
        <v>3</v>
      </c>
      <c r="F64">
        <f>E64*D64*C64/10^6</f>
        <v>1.7121855</v>
      </c>
      <c r="G64" t="str">
        <v>cánh</v>
      </c>
      <c r="H64">
        <v>-121</v>
      </c>
      <c r="I64">
        <v>-121</v>
      </c>
      <c r="J64">
        <v>-15</v>
      </c>
    </row>
    <row r="65">
      <c r="B65">
        <f>C8</f>
        <v>6</v>
      </c>
      <c r="C65">
        <f>G53+H65</f>
        <v>791.5</v>
      </c>
      <c r="D65">
        <f>G54+I65</f>
        <v>291.5</v>
      </c>
      <c r="E65">
        <f>2*C9</f>
        <v>2</v>
      </c>
      <c r="F65">
        <f>E65*D65*C65/10^6</f>
        <v>0.4614445</v>
      </c>
      <c r="G65" t="str">
        <v>cánh</v>
      </c>
      <c r="H65">
        <v>-121</v>
      </c>
      <c r="I65">
        <v>-121</v>
      </c>
      <c r="J65">
        <v>-15</v>
      </c>
    </row>
    <row r="66">
      <c r="J66">
        <v>-27.5</v>
      </c>
    </row>
    <row r="67">
      <c r="J67">
        <v>-37.5</v>
      </c>
    </row>
    <row r="68">
      <c r="B68" t="str">
        <v>PHỤ KIỆN</v>
      </c>
      <c r="C68" t="str">
        <v>sổ 2 cánh</v>
      </c>
      <c r="J68">
        <v>-37</v>
      </c>
    </row>
    <row r="69">
      <c r="B69" t="str">
        <v>Tên</v>
      </c>
      <c r="C69" t="str">
        <v>Mã</v>
      </c>
      <c r="D69" t="str">
        <v>ĐVT</v>
      </c>
      <c r="E69" t="str">
        <v>Số lượng</v>
      </c>
      <c r="J69">
        <v>-37.5</v>
      </c>
    </row>
    <row r="70">
      <c r="B70" t="str">
        <v>Bản lề cửa sổ XF</v>
      </c>
      <c r="C70" t="str">
        <v>XF-SBL</v>
      </c>
      <c r="D70" t="str">
        <v>Chiếc</v>
      </c>
      <c r="E70">
        <f>H70*$H$5*5</f>
        <v>10</v>
      </c>
      <c r="H70">
        <v>2</v>
      </c>
    </row>
    <row r="71">
      <c r="B71" t="str">
        <v>Tay nắm cửa sổ mở quay XF</v>
      </c>
      <c r="C71" t="str">
        <v>XF-STN</v>
      </c>
      <c r="D71" t="str">
        <v>Chiếc</v>
      </c>
      <c r="E71">
        <f>H71*$H$5*5</f>
        <v>5</v>
      </c>
      <c r="H71">
        <v>1</v>
      </c>
      <c r="J71">
        <v>-114</v>
      </c>
    </row>
    <row r="72">
      <c r="B72" t="str">
        <v>Thanh chuyển động XF</v>
      </c>
      <c r="C72" t="str">
        <v>XF-STCD</v>
      </c>
      <c r="D72" t="str">
        <v>Thanh</v>
      </c>
      <c r="E72">
        <f>H72*$H$5*5</f>
        <v>5</v>
      </c>
      <c r="H72">
        <v>1</v>
      </c>
      <c r="J72">
        <v>-114</v>
      </c>
    </row>
    <row r="73">
      <c r="B73" t="str">
        <v>Vấu chốt quay hất cửa sổ XF</v>
      </c>
      <c r="C73" t="str">
        <v>XF-SV</v>
      </c>
      <c r="D73" t="str">
        <v>Chiếc</v>
      </c>
      <c r="E73">
        <f>H73*$H$5*5</f>
        <v>10</v>
      </c>
      <c r="H73">
        <v>2</v>
      </c>
      <c r="J73">
        <v>-152</v>
      </c>
    </row>
    <row r="74">
      <c r="B74" t="str">
        <v>Ke khung cửa sổ XF</v>
      </c>
      <c r="C74" t="str">
        <v>XF-SKK</v>
      </c>
      <c r="D74" t="str">
        <v>Chiếc</v>
      </c>
      <c r="E74">
        <f>H74*$H$5</f>
        <v>4</v>
      </c>
      <c r="H74">
        <v>4</v>
      </c>
      <c r="J74">
        <v>-49.5</v>
      </c>
    </row>
    <row r="75">
      <c r="B75" t="str">
        <v>Ke cánh cửa sổ XF</v>
      </c>
      <c r="C75" t="str">
        <v>XF-SKC</v>
      </c>
      <c r="D75" t="str">
        <v>Chiếc</v>
      </c>
      <c r="E75">
        <f>H75*$H$5*5</f>
        <v>20</v>
      </c>
      <c r="H75">
        <v>4</v>
      </c>
      <c r="J75">
        <v>-37</v>
      </c>
    </row>
    <row r="76">
      <c r="B76" t="str">
        <v>Ke tăng cứng XF</v>
      </c>
      <c r="C76" t="str">
        <v>XF-KTC</v>
      </c>
      <c r="D76" t="str">
        <v>Chiếc</v>
      </c>
      <c r="E76">
        <f>H76*$H$5*5</f>
        <v>20</v>
      </c>
      <c r="H76">
        <v>4</v>
      </c>
      <c r="J76">
        <v>-87.5</v>
      </c>
    </row>
    <row r="79">
      <c r="B79" t="str">
        <v>BẢNG TÍNH GIÁ THÀNH</v>
      </c>
    </row>
    <row r="80">
      <c r="B80" t="str">
        <v>Tên gọi</v>
      </c>
      <c r="C80" t="str">
        <v>Đơn vị tính</v>
      </c>
      <c r="D80" t="str">
        <v>Số lượng</v>
      </c>
      <c r="E80" t="str">
        <v>Đơn giá</v>
      </c>
      <c r="F80" t="str">
        <v>Thành tiền</v>
      </c>
    </row>
    <row r="81">
      <c r="B81" t="str">
        <v>Nhôm (VNĐ)</v>
      </c>
      <c r="C81" t="str">
        <v>Kg</v>
      </c>
      <c r="D81">
        <f>SUM(I46:I58)</f>
        <v>33.391516</v>
      </c>
      <c r="E81">
        <f>C10</f>
        <v>98000</v>
      </c>
      <c r="F81">
        <f>E81*D81</f>
        <v>3272368.5680000004</v>
      </c>
    </row>
    <row r="82">
      <c r="B82" t="str">
        <v>Kính (VNĐ)</v>
      </c>
      <c r="C82" t="str">
        <v>m2</v>
      </c>
      <c r="D82">
        <f>SUM(F64:F65)</f>
        <v>2.1736299999999997</v>
      </c>
      <c r="E82">
        <f>C11</f>
        <v>245000</v>
      </c>
      <c r="F82">
        <f>E82*D82</f>
        <v>532539.35</v>
      </c>
    </row>
    <row r="83">
      <c r="B83" t="str">
        <v>Phụ Kiện (tự nhập) (VNĐ)</v>
      </c>
    </row>
    <row r="84">
      <c r="B84" t="str">
        <v>Vật Tư Phụ (tự nhập) (VNĐ)</v>
      </c>
    </row>
    <row r="85">
      <c r="B85" t="str">
        <v>Công Sản Xuất + Lắp Đặt (VNĐ)</v>
      </c>
    </row>
    <row r="86">
      <c r="B86" t="str">
        <v>Tổng (chưa tính hao hụt nhôm)</v>
      </c>
      <c r="F86">
        <f>SUM(F81:F85)</f>
        <v>3804907.9180000005</v>
      </c>
    </row>
  </sheetData>
  <mergeCells count="2">
    <mergeCell ref="B2:G2"/>
    <mergeCell ref="B44:G44"/>
  </mergeCells>
  <pageMargins left="0.7" right="0.7" top="0.75" bottom="0.75" header="0.3" footer="0.3"/>
  <ignoredErrors>
    <ignoredError numberStoredAsText="1" sqref="A1:J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B62</v>
      </c>
      <c r="D2" t="str">
        <v>B68</v>
      </c>
      <c r="E2" t="str">
        <v>B79</v>
      </c>
    </row>
    <row r="3">
      <c r="A3" t="str">
        <v>C11</v>
      </c>
      <c r="B3" t="str">
        <v>G59</v>
      </c>
      <c r="C3" t="str">
        <v>G65</v>
      </c>
      <c r="D3" t="str">
        <v>E76</v>
      </c>
      <c r="E3" t="str">
        <v>F86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F86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CSMQ2C (2)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2025-09-10T03:08:17Z</dcterms:modified>
  <cp:lastModifiedBy>Admin</cp:lastModifiedBy>
  <cp:lastPrinted>2014-12-05T03:23:20Z</cp:lastPrinted>
  <dc:creator>Windows User</dc:creator>
</cp:coreProperties>
</file>