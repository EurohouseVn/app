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DMQ2C1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Data>
    <row r="2">
      <c r="B2" t="str">
        <v>BẢN VẼ SẢN XUẤT GDOVN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2 cánh liền vách</v>
      </c>
    </row>
    <row r="5">
      <c r="B5" t="str">
        <v>Rộng Cửa (B) (mm)</v>
      </c>
      <c r="C5">
        <v>1800</v>
      </c>
      <c r="F5" t="str">
        <v>Giá kính (VNĐ/m2)</v>
      </c>
      <c r="G5">
        <v>245000</v>
      </c>
      <c r="H5">
        <f>C11</f>
        <v>1</v>
      </c>
      <c r="I5">
        <f>C14</f>
        <v>4.68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2250</v>
      </c>
      <c r="F7" t="str">
        <v>(2)-Cánh cửa sổ ngậm khung</v>
      </c>
      <c r="G7">
        <v>7</v>
      </c>
    </row>
    <row r="8">
      <c r="B8" t="str">
        <v>H2 (mm)</v>
      </c>
      <c r="C8">
        <v>900</v>
      </c>
      <c r="F8" t="str">
        <v>(3)-Khe hở giữa cửa đi 2 (4) cánh</v>
      </c>
      <c r="G8">
        <v>5</v>
      </c>
    </row>
    <row r="9">
      <c r="B9" t="str">
        <v>Hở chân cánh (mm)</v>
      </c>
      <c r="C9">
        <v>7</v>
      </c>
      <c r="F9" t="str">
        <v>(4)-Khe hở cánh cửa đi 4 cánh</v>
      </c>
      <c r="G9">
        <v>5</v>
      </c>
    </row>
    <row r="10">
      <c r="B10" t="str">
        <v>Loại kính</v>
      </c>
      <c r="C10">
        <v>6</v>
      </c>
      <c r="D10">
        <f>C6-C7</f>
        <v>350</v>
      </c>
      <c r="F10" t="str">
        <v>(5)-Khe hở giữa cửa sổ 2 cánh</v>
      </c>
      <c r="G10">
        <v>5</v>
      </c>
    </row>
    <row r="11">
      <c r="B11" t="str">
        <v>Số bộ</v>
      </c>
      <c r="C11">
        <v>1</v>
      </c>
      <c r="F11" t="str">
        <v>(6)-Cánh cửa trượt ngậm khung</v>
      </c>
      <c r="G11">
        <v>10</v>
      </c>
    </row>
    <row r="12">
      <c r="B12" t="str">
        <v>Giá nhôm (VNĐ/Kg)</v>
      </c>
      <c r="C12">
        <v>90000</v>
      </c>
      <c r="F12" t="str">
        <v>(7)-Khe hở kính</v>
      </c>
      <c r="G12">
        <v>10</v>
      </c>
    </row>
    <row r="13">
      <c r="B13" t="str">
        <v>Giá kính (VNĐ/m2)</v>
      </c>
      <c r="C13">
        <v>245000</v>
      </c>
      <c r="F13" t="str">
        <v>(8)-Cao khung mở quay (tính cánh)</v>
      </c>
      <c r="G13">
        <v>37</v>
      </c>
    </row>
    <row r="14">
      <c r="B14" t="str">
        <v>Diện tích/bộ</v>
      </c>
      <c r="C14">
        <f>C5*C6/10^6</f>
        <v>4.68</v>
      </c>
      <c r="F14" t="str">
        <v>(9)-Cao khung mở quay (tính đố)</v>
      </c>
      <c r="G14">
        <v>25</v>
      </c>
    </row>
    <row r="15">
      <c r="B15" t="str">
        <v>Tổng diện tích</v>
      </c>
      <c r="C15">
        <f>C14*C11</f>
        <v>4.68</v>
      </c>
      <c r="E15">
        <f>C5</f>
        <v>1800</v>
      </c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13</v>
      </c>
    </row>
    <row r="17">
      <c r="F17" t="str">
        <v>(12)-Cao cánh cửa đi (tính kính, nẹp)</v>
      </c>
      <c r="G17">
        <v>67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40</v>
      </c>
    </row>
    <row r="20">
      <c r="F20" t="str">
        <v>(15)-Cao cánh cửa sổ (tính kính)</v>
      </c>
      <c r="G20">
        <v>61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45</v>
      </c>
    </row>
    <row r="23">
      <c r="F23" t="str">
        <v>(18)-Cao cánh cửa trượt (tính cánh)</v>
      </c>
      <c r="G23">
        <v>66</v>
      </c>
    </row>
    <row r="24">
      <c r="F24" t="str">
        <v>(19)-Cao cánh cửa trượt (tính kính)</v>
      </c>
      <c r="G24">
        <v>55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GDP- Khung cửa mở quay (kg/m)</v>
      </c>
      <c r="G27">
        <v>0.779</v>
      </c>
    </row>
    <row r="28">
      <c r="F28" t="str">
        <v>GDP- Đố chia khung (kg/m)</v>
      </c>
      <c r="G28">
        <v>0.7799999999999999</v>
      </c>
    </row>
    <row r="29">
      <c r="F29" t="str">
        <v>GDP- Cánh cửa sổ quay (kg/m)</v>
      </c>
      <c r="G29">
        <v>0.86</v>
      </c>
    </row>
    <row r="30">
      <c r="F30" t="str">
        <v>GDP- Cánh cửa đi (kg/m)</v>
      </c>
      <c r="G30">
        <v>0.952</v>
      </c>
    </row>
    <row r="31">
      <c r="F31" t="str">
        <v>GDP- Đố cánh cửa đi (kg/m)</v>
      </c>
      <c r="G31">
        <v>0.945</v>
      </c>
    </row>
    <row r="32">
      <c r="F32" t="str">
        <v>GDP- Đố động (kg/m)</v>
      </c>
      <c r="G32">
        <v>0.57</v>
      </c>
    </row>
    <row r="33">
      <c r="F33" t="str">
        <v>GDP- Ốp đáy (kg/m)</v>
      </c>
      <c r="G33">
        <v>0.319</v>
      </c>
    </row>
    <row r="34">
      <c r="F34" t="str">
        <v>GDP- Nẹp vách (kg/m)</v>
      </c>
      <c r="G34">
        <v>0.22</v>
      </c>
    </row>
    <row r="35">
      <c r="F35" t="str">
        <v>GDP- Nối khung (kg/m)</v>
      </c>
      <c r="G35">
        <v>0.384</v>
      </c>
    </row>
    <row r="36">
      <c r="F36" t="str">
        <v>GDY- Khung cửa trượt (kg/m)</v>
      </c>
      <c r="G36">
        <v>0.867</v>
      </c>
    </row>
    <row r="37">
      <c r="F37" t="str">
        <v>GDY- Cánh cửa trượt (kg/m)</v>
      </c>
      <c r="G37">
        <v>0.725</v>
      </c>
    </row>
    <row r="38">
      <c r="F38" t="str">
        <v>GDY- Móc cánh cửa trượt (kg/m)</v>
      </c>
      <c r="G38">
        <v>0.302</v>
      </c>
    </row>
    <row r="39">
      <c r="F39" t="str">
        <v>GDY- Hèm đối đầu (kg/m)</v>
      </c>
      <c r="G39">
        <v>0.296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GDP- Khung cửa mở quay</v>
      </c>
      <c r="C46" t="str">
        <v>Ngang trên</v>
      </c>
      <c r="D46" t="str">
        <v>GDP-55101B</v>
      </c>
      <c r="E46" t="str">
        <v>45-45</v>
      </c>
      <c r="F46">
        <f>$C$11*J46</f>
        <v>1</v>
      </c>
      <c r="G46">
        <f>C5</f>
        <v>1800</v>
      </c>
      <c r="H46">
        <f>$G$27</f>
        <v>0.779</v>
      </c>
      <c r="I46">
        <f>F46*G46*H46/1000</f>
        <v>1.4022000000000001</v>
      </c>
      <c r="J46">
        <v>1</v>
      </c>
    </row>
    <row r="47">
      <c r="B47" t="str">
        <v>GDP- Khung cửa mở quay</v>
      </c>
      <c r="C47" t="str">
        <v>Đứng</v>
      </c>
      <c r="D47" t="str">
        <v>GDP-55101B</v>
      </c>
      <c r="E47" t="str">
        <v>90-45-90</v>
      </c>
      <c r="F47">
        <f>$C$11*J47</f>
        <v>2</v>
      </c>
      <c r="G47">
        <f>C6</f>
        <v>2600</v>
      </c>
      <c r="H47">
        <f>$G$27</f>
        <v>0.779</v>
      </c>
      <c r="I47">
        <f>F47*G47*H47/1000</f>
        <v>4.050800000000001</v>
      </c>
      <c r="J47">
        <v>2</v>
      </c>
    </row>
    <row r="48">
      <c r="B48" t="str">
        <v>GDP- Đố chia khung</v>
      </c>
      <c r="C48" t="str">
        <v>Ngang</v>
      </c>
      <c r="D48" t="str">
        <v>GDP-55402CT</v>
      </c>
      <c r="E48" t="str">
        <v>90-90</v>
      </c>
      <c r="F48">
        <f>$C$11*J48</f>
        <v>1</v>
      </c>
      <c r="G48">
        <f>G46-G14*2</f>
        <v>1750</v>
      </c>
      <c r="H48">
        <f>$G$28</f>
        <v>0.7799999999999999</v>
      </c>
      <c r="I48">
        <f>F48*G48*H48/1000</f>
        <v>1.3649999999999998</v>
      </c>
      <c r="J48">
        <v>1</v>
      </c>
    </row>
    <row r="49">
      <c r="B49" t="str">
        <v>GDP- Đố chia khung</v>
      </c>
      <c r="C49" t="str">
        <v>Đứng</v>
      </c>
      <c r="D49" t="str">
        <v>GDP-55402CT</v>
      </c>
      <c r="E49" t="str">
        <v>90-90</v>
      </c>
      <c r="F49">
        <f>$C$11*J49</f>
        <v>1</v>
      </c>
      <c r="G49">
        <f>C6-C7-G14-G16/2</f>
        <v>318.5</v>
      </c>
      <c r="H49">
        <f>$G$28</f>
        <v>0.7799999999999999</v>
      </c>
      <c r="I49">
        <f>F49*G49*H49/1000</f>
        <v>0.24842999999999998</v>
      </c>
      <c r="J49">
        <v>1</v>
      </c>
    </row>
    <row r="50">
      <c r="B50" t="str">
        <v>GDP- Cánh cửa đi</v>
      </c>
      <c r="C50" t="str">
        <v>Ngang</v>
      </c>
      <c r="D50" t="str">
        <v>GDP-55202B</v>
      </c>
      <c r="E50" t="str">
        <v>45-45</v>
      </c>
      <c r="F50">
        <f>$C$11*J50</f>
        <v>4</v>
      </c>
      <c r="G50">
        <f>G46/2-G13+G6-G8/2</f>
        <v>867.5</v>
      </c>
      <c r="H50">
        <f>$G$30</f>
        <v>0.952</v>
      </c>
      <c r="I50">
        <f>F50*G50*H50/1000</f>
        <v>3.30344</v>
      </c>
      <c r="J50">
        <v>4</v>
      </c>
    </row>
    <row r="51">
      <c r="B51" t="str">
        <v>GDP- Cánh cửa đi</v>
      </c>
      <c r="C51" t="str">
        <v>Đứng</v>
      </c>
      <c r="D51" t="str">
        <v>GDP-55202B</v>
      </c>
      <c r="E51" t="str">
        <v>45-45</v>
      </c>
      <c r="F51">
        <f>$C$11*J51</f>
        <v>4</v>
      </c>
      <c r="G51">
        <f>G47-D10-G15/2+G6-C9</f>
        <v>2231.5</v>
      </c>
      <c r="H51">
        <f>$G$30</f>
        <v>0.952</v>
      </c>
      <c r="I51">
        <f>F51*G51*H51/1000</f>
        <v>8.497551999999999</v>
      </c>
      <c r="J51">
        <v>4</v>
      </c>
    </row>
    <row r="52">
      <c r="B52" t="str">
        <v>GDP- Đố cánh cửa đi</v>
      </c>
      <c r="C52" t="str">
        <v>Ngang</v>
      </c>
      <c r="D52" t="str">
        <v>GDP-55401B</v>
      </c>
      <c r="E52" t="str">
        <v>90-90</v>
      </c>
      <c r="F52">
        <f>$C$11*J52</f>
        <v>2</v>
      </c>
      <c r="G52">
        <f>G50-G18*2</f>
        <v>721.5</v>
      </c>
      <c r="H52">
        <f>$G$31</f>
        <v>0.945</v>
      </c>
      <c r="I52">
        <f>F52*G52*H52/1000</f>
        <v>1.363635</v>
      </c>
      <c r="J52">
        <v>2</v>
      </c>
    </row>
    <row r="53">
      <c r="B53" t="str">
        <v>GDP- Ốp đáy</v>
      </c>
      <c r="C53" t="str">
        <v>Ngang</v>
      </c>
      <c r="D53" t="str">
        <v>GDP-001</v>
      </c>
      <c r="E53" t="str">
        <v>90-90</v>
      </c>
      <c r="F53">
        <f>$C$11*J53</f>
        <v>2</v>
      </c>
      <c r="G53">
        <f>G50-G21*2</f>
        <v>829.5</v>
      </c>
      <c r="H53">
        <f>$G$33</f>
        <v>0.319</v>
      </c>
      <c r="I53">
        <f>F53*G53*H53/1000</f>
        <v>0.529221</v>
      </c>
      <c r="J53">
        <v>2</v>
      </c>
    </row>
    <row r="54">
      <c r="B54" t="str">
        <v>GDP- Đố động</v>
      </c>
      <c r="C54" t="str">
        <v>Đứng</v>
      </c>
      <c r="D54" t="str">
        <v>GDP-55403CT</v>
      </c>
      <c r="E54" t="str">
        <v>90-90</v>
      </c>
      <c r="F54">
        <f>$C$11*J54</f>
        <v>1</v>
      </c>
      <c r="G54">
        <f>G51-G21</f>
        <v>2212.5</v>
      </c>
      <c r="H54">
        <f>$G$32</f>
        <v>0.57</v>
      </c>
      <c r="I54">
        <f>F54*G54*H54/1000</f>
        <v>1.261125</v>
      </c>
      <c r="J54">
        <v>1</v>
      </c>
    </row>
    <row r="55">
      <c r="B55" t="str">
        <v>GDP- Cánh cửa sổ quay</v>
      </c>
      <c r="C55" t="str">
        <v>Ngang</v>
      </c>
      <c r="D55" t="str">
        <v>GDP-55301</v>
      </c>
      <c r="E55" t="str">
        <v>45-45</v>
      </c>
      <c r="F55">
        <f>$C$11*J55</f>
        <v>4</v>
      </c>
      <c r="G55">
        <f>C5/2-G13-G15/2+G7*2</f>
        <v>858.5</v>
      </c>
      <c r="H55">
        <f>$G$29</f>
        <v>0.86</v>
      </c>
      <c r="I55">
        <f>F55*G55*H55/1000</f>
        <v>2.9532399999999996</v>
      </c>
      <c r="J55">
        <v>4</v>
      </c>
    </row>
    <row r="56">
      <c r="B56" t="str">
        <v>GDP- Cánh cửa sổ quay</v>
      </c>
      <c r="C56" t="str">
        <v>Đứng</v>
      </c>
      <c r="D56" t="str">
        <v>GDP-55301</v>
      </c>
      <c r="E56" t="str">
        <v>45-45</v>
      </c>
      <c r="F56">
        <f>$C$11*J56</f>
        <v>4</v>
      </c>
      <c r="G56">
        <f>C6-C7-G13-G15/2+G7*2</f>
        <v>308.5</v>
      </c>
      <c r="H56">
        <f>$G$29</f>
        <v>0.86</v>
      </c>
      <c r="I56">
        <f>F56*G56*H56/1000</f>
        <v>1.06124</v>
      </c>
      <c r="J56">
        <v>4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C10</f>
        <v>6</v>
      </c>
      <c r="C61">
        <f>G50-G17*2-G12</f>
        <v>723.5</v>
      </c>
      <c r="D61">
        <f>G51-C8-G17-G19/2-G12</f>
        <v>1234.5</v>
      </c>
      <c r="E61">
        <f>2*C11</f>
        <v>2</v>
      </c>
      <c r="F61">
        <f>E61*D61*C61/10^6</f>
        <v>1.7863215</v>
      </c>
      <c r="G61" t="str">
        <v>cánh đi</v>
      </c>
    </row>
    <row r="62">
      <c r="B62">
        <f>C10</f>
        <v>6</v>
      </c>
      <c r="C62">
        <f>G55-G20*2-G12</f>
        <v>726.5</v>
      </c>
      <c r="D62">
        <f>G56-G20*2-G12</f>
        <v>176.5</v>
      </c>
      <c r="E62">
        <f>2*C11</f>
        <v>2</v>
      </c>
      <c r="F62">
        <f>E62*D62*C62/10^6</f>
        <v>0.2564545</v>
      </c>
      <c r="G62" t="str">
        <v>cánh sổ</v>
      </c>
    </row>
    <row r="63">
      <c r="B63" t="str">
        <v>Pano</v>
      </c>
      <c r="C63">
        <f>C61</f>
        <v>723.5</v>
      </c>
      <c r="D63">
        <f>C8-G17-G19/2-G12</f>
        <v>803</v>
      </c>
      <c r="E63">
        <f>2*C11</f>
        <v>2</v>
      </c>
      <c r="F63">
        <f>E63*D63*C63/10^6</f>
        <v>1.161941</v>
      </c>
      <c r="G63" t="str">
        <v>cánh đi</v>
      </c>
      <c r="H63">
        <v>4.95</v>
      </c>
    </row>
    <row r="66">
      <c r="B66" t="str">
        <v>PHỤ KIỆN</v>
      </c>
      <c r="C66" t="str">
        <v>đi 2 cánh</v>
      </c>
    </row>
    <row r="67">
      <c r="B67" t="str">
        <v>Tên</v>
      </c>
      <c r="C67" t="str">
        <v>Mã</v>
      </c>
      <c r="D67" t="str">
        <v>ĐVT</v>
      </c>
      <c r="E67" t="str">
        <v>Số lượng</v>
      </c>
    </row>
    <row r="68">
      <c r="B68" t="str">
        <v>Bản lề cửa đi GD</v>
      </c>
      <c r="C68" t="str">
        <v>GD-DBL</v>
      </c>
      <c r="D68" t="str">
        <v>Chiếc</v>
      </c>
      <c r="E68">
        <f>H68*$H$5</f>
        <v>6</v>
      </c>
      <c r="H68">
        <v>6</v>
      </c>
    </row>
    <row r="69">
      <c r="B69" t="str">
        <v>Bộ khóa đa điểm cửa đi GD</v>
      </c>
      <c r="C69" t="str">
        <v>GD-DKDD</v>
      </c>
      <c r="D69" t="str">
        <v>Bộ</v>
      </c>
      <c r="E69">
        <f>H69*$H$5</f>
        <v>1</v>
      </c>
      <c r="H69">
        <v>1</v>
      </c>
    </row>
    <row r="70">
      <c r="B70" t="str">
        <v>Đầu khóa biên thấp cửa đi GD</v>
      </c>
      <c r="C70" t="str">
        <v>GD-DKBT</v>
      </c>
      <c r="D70" t="str">
        <v>Chiếc</v>
      </c>
      <c r="E70">
        <f>H70*$H$5</f>
        <v>2</v>
      </c>
      <c r="H70">
        <v>2</v>
      </c>
    </row>
    <row r="71">
      <c r="B71" t="str">
        <v>Vấu 2 cánh cửa đi GD</v>
      </c>
      <c r="C71" t="str">
        <v>GD-DV2C</v>
      </c>
      <c r="D71" t="str">
        <v>Chiếc</v>
      </c>
      <c r="E71">
        <f>H71*$H$5</f>
        <v>2</v>
      </c>
      <c r="H71">
        <v>2</v>
      </c>
    </row>
    <row r="72">
      <c r="B72" t="str">
        <v>Chốt cánh phụ 500 cửa đi GD</v>
      </c>
      <c r="C72" t="str">
        <v>GD-DC500</v>
      </c>
      <c r="D72" t="str">
        <v>Chiếc</v>
      </c>
      <c r="E72">
        <f>H72*$H$5</f>
        <v>1</v>
      </c>
      <c r="H72">
        <v>1</v>
      </c>
    </row>
    <row r="73">
      <c r="B73" t="str">
        <v>Chốt cánh phụ 220 cửa đi GD</v>
      </c>
      <c r="C73" t="str">
        <v>GD-DC220</v>
      </c>
      <c r="D73" t="str">
        <v>Chiếc</v>
      </c>
      <c r="E73">
        <f>H73*$H$5</f>
        <v>1</v>
      </c>
      <c r="H73">
        <v>1</v>
      </c>
    </row>
    <row r="74">
      <c r="B74" t="str">
        <v>Nắp bịt chân cánh cửa đi GD</v>
      </c>
      <c r="C74" t="str">
        <v>GD-DBC</v>
      </c>
      <c r="D74" t="str">
        <v>Cặp</v>
      </c>
      <c r="E74">
        <f>H74*$H$5</f>
        <v>2</v>
      </c>
      <c r="H74">
        <v>2</v>
      </c>
    </row>
    <row r="75">
      <c r="B75" t="str">
        <v>Nắp bịt đố động GD</v>
      </c>
      <c r="C75" t="str">
        <v>GD-BDD</v>
      </c>
      <c r="D75" t="str">
        <v>Cặp</v>
      </c>
      <c r="E75">
        <f>H75*$H$5</f>
        <v>1</v>
      </c>
      <c r="H75">
        <v>1</v>
      </c>
    </row>
    <row r="76">
      <c r="B76" t="str">
        <v>Ke nhảy khung mở quay GD</v>
      </c>
      <c r="C76" t="str">
        <v>GD-KNK</v>
      </c>
      <c r="D76" t="str">
        <v>Chiếc</v>
      </c>
      <c r="E76">
        <f>H76*$H$5</f>
        <v>2</v>
      </c>
      <c r="H76">
        <v>2</v>
      </c>
    </row>
    <row r="77">
      <c r="B77" t="str">
        <v>Ke nhảy cánh đi mở quay GD</v>
      </c>
      <c r="C77" t="str">
        <v>GD-DKNC</v>
      </c>
      <c r="D77" t="str">
        <v>Chiếc</v>
      </c>
      <c r="E77">
        <f>H77*$H$5</f>
        <v>8</v>
      </c>
      <c r="H77">
        <v>8</v>
      </c>
    </row>
    <row r="78">
      <c r="B78" t="str">
        <v>Ke tăng cứng GD</v>
      </c>
      <c r="C78" t="str">
        <v>GD-KTC</v>
      </c>
      <c r="D78" t="str">
        <v>Chiếc</v>
      </c>
      <c r="E78">
        <f>H78*$H$5</f>
        <v>8</v>
      </c>
      <c r="H78">
        <v>8</v>
      </c>
    </row>
    <row r="79">
      <c r="B79" t="str">
        <v>Bản lề cửa sổ GD</v>
      </c>
      <c r="C79" t="str">
        <v>GD-SBL</v>
      </c>
      <c r="D79" t="str">
        <v>Chiếc</v>
      </c>
      <c r="E79">
        <f>H79*$H$5</f>
        <v>4</v>
      </c>
      <c r="H79">
        <v>4</v>
      </c>
    </row>
    <row r="80">
      <c r="B80" t="str">
        <v>Tay nắm cửa sổ mở quay GD</v>
      </c>
      <c r="C80" t="str">
        <v>GD-STN</v>
      </c>
      <c r="D80" t="str">
        <v>Chiếc</v>
      </c>
      <c r="E80">
        <f>H80*$H$5</f>
        <v>2</v>
      </c>
      <c r="H80">
        <v>2</v>
      </c>
    </row>
    <row r="81">
      <c r="B81" t="str">
        <v>Thanh chuyển động GD</v>
      </c>
      <c r="C81" t="str">
        <v>GD-STCD</v>
      </c>
      <c r="D81" t="str">
        <v>Thanh</v>
      </c>
      <c r="E81">
        <f>H81*$H$5</f>
        <v>2</v>
      </c>
      <c r="H81">
        <v>2</v>
      </c>
    </row>
    <row r="82">
      <c r="B82" t="str">
        <v>Vấu chốt quay hất cửa sổ GD</v>
      </c>
      <c r="C82" t="str">
        <v>GD-SV</v>
      </c>
      <c r="D82" t="str">
        <v>Chiếc</v>
      </c>
      <c r="E82">
        <f>H82*$H$5</f>
        <v>4</v>
      </c>
      <c r="H82">
        <v>4</v>
      </c>
    </row>
    <row r="83">
      <c r="B83" t="str">
        <v>Ke nhảy cánh sổ mở quay GD</v>
      </c>
      <c r="C83" t="str">
        <v>GD-SKNC</v>
      </c>
      <c r="D83" t="str">
        <v>Chiếc</v>
      </c>
      <c r="E83">
        <f>H83*$H$5</f>
        <v>8</v>
      </c>
      <c r="H83">
        <v>8</v>
      </c>
    </row>
    <row r="84">
      <c r="B84" t="str">
        <v>Ke tăng cứng GD</v>
      </c>
      <c r="C84" t="str">
        <v>GD-KTC</v>
      </c>
      <c r="D84" t="str">
        <v>Chiếc</v>
      </c>
      <c r="E84">
        <f>H84*$H$5</f>
        <v>8</v>
      </c>
      <c r="H84">
        <v>8</v>
      </c>
    </row>
    <row r="87">
      <c r="B87" t="str">
        <v>BẢNG TÍNH GIÁ THÀNH</v>
      </c>
    </row>
    <row r="88">
      <c r="B88" t="str">
        <v>Tên gọi</v>
      </c>
      <c r="C88" t="str">
        <v>Đơn vị tính</v>
      </c>
      <c r="D88" t="str">
        <v>Số lượng</v>
      </c>
      <c r="E88" t="str">
        <v>Đơn giá</v>
      </c>
      <c r="F88" t="str">
        <v>Thành tiền</v>
      </c>
    </row>
    <row r="89">
      <c r="B89" t="str">
        <v>Nhôm (VNĐ)</v>
      </c>
      <c r="C89" t="str">
        <v>Kg</v>
      </c>
      <c r="D89">
        <f>SUM(I46:I56)+F63*H63</f>
        <v>31.787490950000002</v>
      </c>
      <c r="E89">
        <f>C12</f>
        <v>90000</v>
      </c>
      <c r="F89">
        <f>E89*D89</f>
        <v>2860874.1855</v>
      </c>
    </row>
    <row r="90">
      <c r="B90" t="str">
        <v>Kính (VNĐ)</v>
      </c>
      <c r="C90" t="str">
        <v>m2</v>
      </c>
      <c r="D90">
        <f>SUM(F61:F62)</f>
        <v>2.042776</v>
      </c>
      <c r="E90">
        <f>C13</f>
        <v>245000</v>
      </c>
      <c r="F90">
        <f>E90*D90</f>
        <v>500480.12</v>
      </c>
    </row>
    <row r="91">
      <c r="B91" t="str">
        <v>Phụ Kiện (tự nhập) (VNĐ)</v>
      </c>
    </row>
    <row r="92">
      <c r="B92" t="str">
        <v>Vật Tư Phụ (tự nhập) (VNĐ)</v>
      </c>
    </row>
    <row r="93">
      <c r="B93" t="str">
        <v>Công Sản Xuất + Lắp Đặt (VNĐ)</v>
      </c>
    </row>
    <row r="94">
      <c r="B94" t="str">
        <v>Tổng (chưa tính hao hụt nhôm)</v>
      </c>
      <c r="F94">
        <f>SUM(F89:F93)</f>
        <v>3361354.3055000002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B66</v>
      </c>
      <c r="E2" t="str">
        <v>B87</v>
      </c>
    </row>
    <row r="3">
      <c r="A3" t="str">
        <v>C13</v>
      </c>
      <c r="B3" t="str">
        <v>G56</v>
      </c>
      <c r="C3" t="str">
        <v>G63</v>
      </c>
      <c r="D3" t="str">
        <v>E84</v>
      </c>
      <c r="E3" t="str">
        <v>F94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2020-11-17T08:50:10Z</dcterms:modified>
  <cp:lastModifiedBy>Cuong</cp:lastModifiedBy>
  <cp:lastPrinted>2014-12-05T03:23:20Z</cp:lastPrinted>
  <dc:creator>Windows User</dc:creator>
</cp:coreProperties>
</file>