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workbookViewId="0" rightToLeft="0"/>
  </sheetViews>
  <sheetData>
    <row r="2">
      <c r="B2" t="str">
        <v>BẢN VẼ SẢN XUẤT BLK100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mở trượt 3 ray 3 cánh BLK100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C9</f>
        <v>1</v>
      </c>
      <c r="I5">
        <f>C12</f>
        <v>6.44</v>
      </c>
    </row>
    <row r="6">
      <c r="B6" t="str">
        <v>Cao Cửa (H) (mm)</v>
      </c>
      <c r="C6">
        <v>2300</v>
      </c>
      <c r="F6" t="str">
        <v>(1)-Cánh cửa đi ngậm khung</v>
      </c>
      <c r="G6">
        <v>7</v>
      </c>
    </row>
    <row r="7">
      <c r="B7" t="str">
        <v>Cao ray (32 hoặc 36)</v>
      </c>
      <c r="C7">
        <v>32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(6)-Cánh cửa trượt ngậm khung</v>
      </c>
      <c r="G11">
        <v>10</v>
      </c>
    </row>
    <row r="12">
      <c r="B12" t="str">
        <v>Diện tích/bộ</v>
      </c>
      <c r="C12">
        <f>C5*C6/10^6</f>
        <v>6.44</v>
      </c>
      <c r="E12">
        <f>C5</f>
        <v>2800</v>
      </c>
      <c r="F12" t="str">
        <v>(7)-Khe hở kính</v>
      </c>
      <c r="G12">
        <v>9</v>
      </c>
    </row>
    <row r="13">
      <c r="B13" t="str">
        <v>Tổng diện tích</v>
      </c>
      <c r="C13">
        <f>C12*C9</f>
        <v>6.44</v>
      </c>
      <c r="F13" t="str">
        <v>(8)-Cao khung mở quay (tính cánh)</v>
      </c>
      <c r="G13">
        <v>31</v>
      </c>
    </row>
    <row r="14">
      <c r="F14" t="str">
        <v>(9)-Cao khung mở quay (tính đố)</v>
      </c>
      <c r="G14">
        <v>19.5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14</v>
      </c>
    </row>
    <row r="17">
      <c r="F17" t="str">
        <v>(12)-Cao cánh cửa đi (tính kính)</v>
      </c>
      <c r="G17">
        <v>71</v>
      </c>
    </row>
    <row r="18">
      <c r="F18" t="str">
        <v>(13)-Cao cánh cửa đi (tính đố cánh)</v>
      </c>
      <c r="G18">
        <v>68</v>
      </c>
    </row>
    <row r="19">
      <c r="F19" t="str">
        <v>(14)-Cao đố cánh cửa đi</v>
      </c>
      <c r="G19">
        <v>48</v>
      </c>
    </row>
    <row r="20">
      <c r="F20" t="str">
        <v>(15)-Cao cánh cửa sổ (tính kính)</v>
      </c>
      <c r="G20">
        <v>66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45</v>
      </c>
    </row>
    <row r="23">
      <c r="F23" t="str">
        <v>(18)-Cao cánh cửa trượt (tính cánh)</v>
      </c>
      <c r="G23">
        <v>68</v>
      </c>
    </row>
    <row r="24">
      <c r="F24" t="str">
        <v>(19)-Cao cánh cửa trượt (tính kính)</v>
      </c>
      <c r="G24">
        <v>53</v>
      </c>
    </row>
    <row r="25">
      <c r="F25" t="str">
        <v>(20)-Chiều dày hèm đối đầu cửa trượt</v>
      </c>
      <c r="G25">
        <v>1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0.673</v>
      </c>
    </row>
    <row r="28">
      <c r="F28" t="str">
        <v>Đố chia khung (kg/m)</v>
      </c>
      <c r="G28">
        <v>0.857</v>
      </c>
    </row>
    <row r="29">
      <c r="F29" t="str">
        <v>Cánh cửa sổ quay (kg/m)</v>
      </c>
      <c r="G29">
        <v>0.741</v>
      </c>
    </row>
    <row r="30">
      <c r="F30" t="str">
        <v>Cánh đi mở quay (kg/m)</v>
      </c>
      <c r="G30">
        <v>0.936</v>
      </c>
    </row>
    <row r="31">
      <c r="F31" t="str">
        <v>Đố cánh cửa đi (kg/m)</v>
      </c>
      <c r="G31">
        <v>0.894</v>
      </c>
    </row>
    <row r="32">
      <c r="F32" t="str">
        <v>Đố động (kg/m)</v>
      </c>
      <c r="G32">
        <v>0.628</v>
      </c>
    </row>
    <row r="33">
      <c r="F33" t="str">
        <v>Ốp đáy (kg/m)</v>
      </c>
      <c r="G33">
        <v>0.3</v>
      </c>
    </row>
    <row r="34">
      <c r="F34" t="str">
        <v>Nẹp vách (kg/m)</v>
      </c>
      <c r="G34">
        <v>0.243</v>
      </c>
    </row>
    <row r="35">
      <c r="F35" t="str">
        <v>Nối khung (kg/m)</v>
      </c>
      <c r="G35">
        <v>0.348</v>
      </c>
    </row>
    <row r="36">
      <c r="F36" t="str">
        <v>Khung cửa trượt (kg/m)</v>
      </c>
      <c r="G36">
        <v>0.784</v>
      </c>
    </row>
    <row r="37">
      <c r="F37" t="str">
        <v>Cánh cửa trượt (kg/m)</v>
      </c>
      <c r="G37">
        <v>0.749</v>
      </c>
    </row>
    <row r="38">
      <c r="F38" t="str">
        <v>Móc cánh cửa trượt (kg/m)</v>
      </c>
      <c r="G38">
        <v>0.381</v>
      </c>
    </row>
    <row r="39">
      <c r="F39" t="str">
        <v>Hèm đối đầu (kg/m)</v>
      </c>
      <c r="G39">
        <v>0.375</v>
      </c>
    </row>
    <row r="40">
      <c r="F40" t="str">
        <v>(22)-Tính đố động= cánh trừ</v>
      </c>
      <c r="G40">
        <v>28</v>
      </c>
    </row>
    <row r="41">
      <c r="F41" t="str">
        <v>(23)-Cửa trượt ngậm thêm khung</v>
      </c>
      <c r="G41">
        <v>0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lùa</v>
      </c>
      <c r="C46" t="str">
        <v>Ngang trên</v>
      </c>
      <c r="D46" t="str">
        <v>1101</v>
      </c>
      <c r="E46" t="str">
        <v>45-45</v>
      </c>
      <c r="F46">
        <f>$C$9*J46</f>
        <v>1</v>
      </c>
      <c r="G46">
        <f>C5</f>
        <v>2800</v>
      </c>
      <c r="H46">
        <v>1.507</v>
      </c>
      <c r="I46">
        <f>F46*G46*H46/1000</f>
        <v>4.2196</v>
      </c>
      <c r="J46">
        <v>1</v>
      </c>
    </row>
    <row r="47">
      <c r="B47" t="str">
        <v>Khung bao cửa lùa</v>
      </c>
      <c r="C47" t="str">
        <v>Đứng</v>
      </c>
      <c r="D47" t="str">
        <v>1101</v>
      </c>
      <c r="E47" t="str">
        <v>T.tế</v>
      </c>
      <c r="F47">
        <f>$C$9*J47</f>
        <v>2</v>
      </c>
      <c r="G47">
        <f>C6</f>
        <v>2300</v>
      </c>
      <c r="H47">
        <v>1.507</v>
      </c>
      <c r="I47">
        <f>F47*G47*H47/1000</f>
        <v>6.9322</v>
      </c>
      <c r="J47">
        <v>2</v>
      </c>
    </row>
    <row r="48">
      <c r="B48" t="str">
        <v>Ray dưới cửa lùa</v>
      </c>
      <c r="C48" t="str">
        <v>Ngang dưới</v>
      </c>
      <c r="D48">
        <f>1102-(C7-32)/(36-32)</f>
        <v>1102</v>
      </c>
      <c r="E48" t="str">
        <v>T.tế</v>
      </c>
      <c r="F48">
        <f>$C$9*J48</f>
        <v>1</v>
      </c>
      <c r="G48">
        <f>G46-72+(C7-32)*36*2/(36-32)</f>
        <v>2728</v>
      </c>
      <c r="H48">
        <f>1.526</f>
        <v>1.526</v>
      </c>
      <c r="I48">
        <f>F48*G48*H48/1000</f>
        <v>4.162928</v>
      </c>
      <c r="J48">
        <v>1</v>
      </c>
    </row>
    <row r="49">
      <c r="B49" t="str">
        <v>Cánh cửa lùa</v>
      </c>
      <c r="C49" t="str">
        <v>Ngang</v>
      </c>
      <c r="D49" t="str">
        <v>1103A</v>
      </c>
      <c r="E49" t="str">
        <v>45-45</v>
      </c>
      <c r="F49">
        <f>$C$9*J49</f>
        <v>4</v>
      </c>
      <c r="G49">
        <f>(G46-36*2-10+79*2)/4</f>
        <v>719</v>
      </c>
      <c r="H49">
        <v>1.393</v>
      </c>
      <c r="I49">
        <f>F49*G49*H49/1000</f>
        <v>4.006268</v>
      </c>
      <c r="J49">
        <v>4</v>
      </c>
    </row>
    <row r="50">
      <c r="B50" t="str">
        <v>Cánh cửa lùa</v>
      </c>
      <c r="C50" t="str">
        <v>Ngang</v>
      </c>
      <c r="D50" t="str">
        <v>1103A</v>
      </c>
      <c r="E50" t="str">
        <v>45-45</v>
      </c>
      <c r="F50">
        <f>$C$9*J50</f>
        <v>2</v>
      </c>
      <c r="G50">
        <f>(G46-36*2-10+79*2)/2</f>
        <v>1438</v>
      </c>
      <c r="H50">
        <v>1.393</v>
      </c>
      <c r="I50">
        <f>F50*G50*H50/1000</f>
        <v>4.006268</v>
      </c>
      <c r="J50">
        <v>2</v>
      </c>
    </row>
    <row r="51">
      <c r="B51" t="str">
        <v>Cánh cửa lùa</v>
      </c>
      <c r="C51" t="str">
        <v>Đứng</v>
      </c>
      <c r="D51" t="str">
        <v>1103A</v>
      </c>
      <c r="E51" t="str">
        <v>45-45</v>
      </c>
      <c r="F51">
        <f>$C$9*J51</f>
        <v>6</v>
      </c>
      <c r="G51">
        <f>G47-36-C7-10+12*(36-C7)/(36-32)</f>
        <v>2234</v>
      </c>
      <c r="H51">
        <v>1.393</v>
      </c>
      <c r="I51">
        <f>F51*G51*H51/1000</f>
        <v>18.671772</v>
      </c>
      <c r="J51">
        <v>6</v>
      </c>
    </row>
    <row r="52">
      <c r="B52" t="str">
        <v>Ốp hông 1 mặt</v>
      </c>
      <c r="C52" t="str">
        <v>Đứng</v>
      </c>
      <c r="D52" t="str">
        <v>1107A</v>
      </c>
      <c r="E52" t="str">
        <v>90-90</v>
      </c>
      <c r="F52">
        <f>$C$9*J52</f>
        <v>4</v>
      </c>
      <c r="G52">
        <f>G51</f>
        <v>2234</v>
      </c>
      <c r="H52">
        <v>0.457</v>
      </c>
      <c r="I52">
        <f>F52*G52*H52/1000</f>
        <v>4.083752</v>
      </c>
      <c r="J52">
        <v>4</v>
      </c>
    </row>
    <row r="53">
      <c r="B53" t="str">
        <v>U khung ngang trên</v>
      </c>
      <c r="C53" t="str">
        <v>Ngang</v>
      </c>
      <c r="D53" t="str">
        <v>1105B</v>
      </c>
      <c r="E53" t="str">
        <v>90-90</v>
      </c>
      <c r="F53">
        <f>$C$9*J53</f>
        <v>3</v>
      </c>
      <c r="G53">
        <f>$G$46-36*2</f>
        <v>2728</v>
      </c>
      <c r="H53">
        <v>0.236</v>
      </c>
      <c r="I53">
        <f>F53*G53*H53/1000</f>
        <v>1.931424</v>
      </c>
      <c r="J53">
        <v>3</v>
      </c>
    </row>
    <row r="54">
      <c r="B54" t="str">
        <v>U khung đứng</v>
      </c>
      <c r="C54" t="str">
        <v>Đứng</v>
      </c>
      <c r="D54" t="str">
        <v>1105A</v>
      </c>
      <c r="E54" t="str">
        <v>90-90</v>
      </c>
      <c r="F54">
        <f>$C$9*J54</f>
        <v>2</v>
      </c>
      <c r="G54">
        <f>G47-36-C7</f>
        <v>2232</v>
      </c>
      <c r="H54">
        <v>0.186</v>
      </c>
      <c r="I54">
        <f>F54*G54*H54/1000</f>
        <v>0.8303039999999999</v>
      </c>
      <c r="J54">
        <v>2</v>
      </c>
    </row>
    <row r="55">
      <c r="B55" t="str">
        <v>Ốp ray inox</v>
      </c>
      <c r="C55" t="str">
        <v>Ngang</v>
      </c>
      <c r="D55" t="str">
        <v>1113</v>
      </c>
      <c r="E55" t="str">
        <v>90-90</v>
      </c>
      <c r="F55">
        <f>$C$9*J55</f>
        <v>2</v>
      </c>
      <c r="G55">
        <f>G46-88</f>
        <v>2712</v>
      </c>
      <c r="H55">
        <v>0.13</v>
      </c>
      <c r="I55">
        <f>F55*G55*H55/1000</f>
        <v>0.70512</v>
      </c>
      <c r="J55">
        <v>2</v>
      </c>
    </row>
    <row r="56">
      <c r="B56" t="str">
        <v>Ốp nhựa</v>
      </c>
      <c r="C56" t="str">
        <v>Đứng</v>
      </c>
      <c r="D56" t="str">
        <v>1112</v>
      </c>
      <c r="E56" t="str">
        <v>90-90</v>
      </c>
      <c r="F56">
        <f>$C$9*J56</f>
        <v>4</v>
      </c>
      <c r="G56">
        <f>G54</f>
        <v>2232</v>
      </c>
      <c r="H56">
        <v>0.08</v>
      </c>
      <c r="I56">
        <f>F56*G56*H56/1000</f>
        <v>0.71424</v>
      </c>
      <c r="J56">
        <v>4</v>
      </c>
    </row>
    <row r="57">
      <c r="B57" t="str">
        <v>Ốp nhựa</v>
      </c>
      <c r="C57" t="str">
        <v>Đứng</v>
      </c>
      <c r="D57" t="str">
        <v>1112</v>
      </c>
      <c r="E57" t="str">
        <v>90-90</v>
      </c>
      <c r="F57">
        <f>$C$9*J57</f>
        <v>4</v>
      </c>
      <c r="G57">
        <f>G52</f>
        <v>2234</v>
      </c>
      <c r="H57">
        <v>0.08</v>
      </c>
      <c r="I57">
        <f>F57*G57*H57/1000</f>
        <v>0.71488</v>
      </c>
      <c r="J57">
        <v>4</v>
      </c>
    </row>
    <row r="60">
      <c r="B60" t="str">
        <v>KÍCH THƯỚC CẮT KÍNH</v>
      </c>
    </row>
    <row r="61">
      <c r="B61" t="str">
        <v>Tên kính</v>
      </c>
      <c r="C61" t="str">
        <v>Rộng</v>
      </c>
      <c r="D61" t="str">
        <v>Cao</v>
      </c>
      <c r="E61" t="str">
        <v>Số lượng</v>
      </c>
      <c r="F61" t="str">
        <v>Diện tích kính (m2)</v>
      </c>
      <c r="G61" t="str">
        <v>Vị trí</v>
      </c>
    </row>
    <row r="62">
      <c r="B62">
        <f>$C$8</f>
        <v>6</v>
      </c>
      <c r="C62">
        <f>G49-66*2-G12</f>
        <v>578</v>
      </c>
      <c r="D62">
        <f>G51-66*2-G12</f>
        <v>2093</v>
      </c>
      <c r="E62">
        <f>2*C9</f>
        <v>2</v>
      </c>
      <c r="F62">
        <f>E62*D62*C62/10^6</f>
        <v>2.419508</v>
      </c>
      <c r="G62" t="str">
        <v>cánh</v>
      </c>
    </row>
    <row r="63">
      <c r="B63">
        <f>$C$8</f>
        <v>6</v>
      </c>
      <c r="C63">
        <f>G50-66*2-G12</f>
        <v>1297</v>
      </c>
      <c r="D63">
        <f>G51-66*2-G12</f>
        <v>2093</v>
      </c>
      <c r="E63">
        <f>1*C9</f>
        <v>1</v>
      </c>
      <c r="F63">
        <f>E63*D63*C63/10^6</f>
        <v>2.714621</v>
      </c>
      <c r="G63" t="str">
        <v>cánh</v>
      </c>
    </row>
    <row r="66">
      <c r="B66" t="str">
        <v>PHỤ KIỆN</v>
      </c>
      <c r="C66" t="str">
        <v>Trượt 2 cánh</v>
      </c>
    </row>
    <row r="67">
      <c r="B67" t="str">
        <v>Tên</v>
      </c>
      <c r="C67" t="str">
        <v>Mã</v>
      </c>
      <c r="D67" t="str">
        <v>ĐVT</v>
      </c>
      <c r="E67" t="str">
        <v>Số lượng</v>
      </c>
    </row>
    <row r="68">
      <c r="B68" t="str">
        <v>Con lăn cửa trượt BLK100</v>
      </c>
      <c r="C68" t="str">
        <v>BLK100-TCL</v>
      </c>
      <c r="D68" t="str">
        <v>Chiếc</v>
      </c>
      <c r="E68">
        <f>H68*$H$5</f>
        <v>6</v>
      </c>
      <c r="H68">
        <v>6</v>
      </c>
    </row>
    <row r="69">
      <c r="B69" t="str">
        <v>Bộ khóa cửa trượt BLK100</v>
      </c>
      <c r="C69" t="str">
        <v>BLK100-TKS</v>
      </c>
      <c r="D69" t="str">
        <v>Bộ</v>
      </c>
      <c r="E69">
        <f>H69*$H$5</f>
        <v>1</v>
      </c>
      <c r="H69">
        <v>1</v>
      </c>
    </row>
    <row r="70">
      <c r="B70" t="str">
        <v>Chốt cánh phụ cửa trượt BLK100</v>
      </c>
      <c r="C70" t="str">
        <v>BLK100-TCP</v>
      </c>
      <c r="D70" t="str">
        <v>Bộ</v>
      </c>
      <c r="E70">
        <f>H70*$H$5</f>
        <v>1</v>
      </c>
      <c r="H70">
        <v>1</v>
      </c>
    </row>
    <row r="71">
      <c r="B71" t="str">
        <v>Chống va cửa trượt BLK100</v>
      </c>
      <c r="C71" t="str">
        <v>BLK100-TCV</v>
      </c>
      <c r="D71" t="str">
        <v>Chiếc</v>
      </c>
      <c r="E71">
        <f>H71*$H$5</f>
        <v>4</v>
      </c>
      <c r="H71">
        <v>4</v>
      </c>
    </row>
    <row r="72">
      <c r="B72" t="str">
        <v>Chống nhấc cửa trượt BLK100</v>
      </c>
      <c r="C72" t="str">
        <v>BLK100-TCN</v>
      </c>
      <c r="D72" t="str">
        <v>Chiếc</v>
      </c>
      <c r="E72">
        <f>H72*$H$5</f>
        <v>2</v>
      </c>
      <c r="H72">
        <v>2</v>
      </c>
    </row>
    <row r="73">
      <c r="B73" t="str">
        <v>Ke khung mở trượt BLK100</v>
      </c>
      <c r="C73" t="str">
        <v>BLK100-TKNK</v>
      </c>
      <c r="D73" t="str">
        <v>Chiếc</v>
      </c>
      <c r="E73">
        <f>H73*$H$5</f>
        <v>8</v>
      </c>
      <c r="H73">
        <v>8</v>
      </c>
    </row>
    <row r="74">
      <c r="B74" t="str">
        <v>Ke cánh trượt BLK100</v>
      </c>
      <c r="C74" t="str">
        <v>BLK100-TKNC</v>
      </c>
      <c r="D74" t="str">
        <v>Chiếc</v>
      </c>
      <c r="E74">
        <f>H74*$H$5</f>
        <v>12</v>
      </c>
      <c r="H74">
        <v>12</v>
      </c>
    </row>
    <row r="77">
      <c r="B77" t="str">
        <v>BẢNG TÍNH GIÁ THÀNH</v>
      </c>
    </row>
    <row r="78">
      <c r="B78" t="str">
        <v>Tên gọi</v>
      </c>
      <c r="C78" t="str">
        <v>Đơn vị tính</v>
      </c>
      <c r="D78" t="str">
        <v>Số lượng</v>
      </c>
      <c r="E78" t="str">
        <v>Đơn giá</v>
      </c>
      <c r="F78" t="str">
        <v>Thành tiền</v>
      </c>
    </row>
    <row r="79">
      <c r="B79" t="str">
        <v>Nhôm (VNĐ)</v>
      </c>
      <c r="C79" t="str">
        <v>Kg</v>
      </c>
      <c r="D79">
        <f>SUM(I46:I57)</f>
        <v>50.978756</v>
      </c>
      <c r="E79">
        <f>C10</f>
        <v>90000</v>
      </c>
      <c r="F79">
        <f>E79*D79</f>
        <v>4588088.04</v>
      </c>
    </row>
    <row r="80">
      <c r="B80" t="str">
        <v>Kính (VNĐ)</v>
      </c>
      <c r="C80" t="str">
        <v>m2</v>
      </c>
      <c r="D80">
        <f>SUM(F62:F63)</f>
        <v>5.134129</v>
      </c>
      <c r="E80">
        <f>C11</f>
        <v>245000</v>
      </c>
      <c r="F80">
        <f>E80*D80</f>
        <v>1257861.605</v>
      </c>
    </row>
    <row r="81">
      <c r="B81" t="str">
        <v>Phụ Kiện (tự nhập) (VNĐ)</v>
      </c>
    </row>
    <row r="82">
      <c r="B82" t="str">
        <v>Vật Tư Phụ (tự nhập) (VNĐ)</v>
      </c>
    </row>
    <row r="83">
      <c r="B83" t="str">
        <v>Công Sản Xuất + Lắp Đặt (VNĐ)</v>
      </c>
    </row>
    <row r="84">
      <c r="B84" t="str">
        <v>Tổng (chưa tính hao hụt nhôm)</v>
      </c>
      <c r="F84">
        <f>SUM(F79:F83)</f>
        <v>5845949.645</v>
      </c>
    </row>
  </sheetData>
  <mergeCells count="1">
    <mergeCell ref="B2:G2"/>
  </mergeCells>
  <pageMargins left="0.7" right="0.7" top="0.75" bottom="0.75" header="0.3" footer="0.3"/>
  <ignoredErrors>
    <ignoredError numberStoredAsText="1" sqref="A1:J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B60</v>
      </c>
      <c r="D2" t="str">
        <v>B66</v>
      </c>
      <c r="E2" t="str">
        <v>B77</v>
      </c>
    </row>
    <row r="3">
      <c r="A3" t="str">
        <v>C11</v>
      </c>
      <c r="B3" t="str">
        <v>G57</v>
      </c>
      <c r="C3" t="str">
        <v>G63</v>
      </c>
      <c r="D3" t="str">
        <v>E74</v>
      </c>
      <c r="E3" t="str">
        <v>F84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F84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2021-09-19T09:52:05Z</dcterms:modified>
  <cp:lastModifiedBy>Admin</cp:lastModifiedBy>
  <cp:lastPrinted>2014-12-05T03:23:20Z</cp:lastPrinted>
  <dc:creator>Windows User</dc:creator>
</cp:coreProperties>
</file>