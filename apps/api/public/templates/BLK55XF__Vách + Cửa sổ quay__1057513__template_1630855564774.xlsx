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 rightToLeft="0"/>
  </sheetViews>
  <sheetData>
    <row r="2">
      <c r="B2" t="str">
        <v>BẢN VẼ SẢN XUẤT XF55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3.96</v>
      </c>
    </row>
    <row r="6">
      <c r="B6" t="str">
        <v>Cao Cửa (H) (mm)</v>
      </c>
      <c r="C6">
        <v>1800</v>
      </c>
      <c r="F6" t="str">
        <v>(1)-Cánh ĐI ngậm khung</v>
      </c>
      <c r="G6">
        <v>6</v>
      </c>
    </row>
    <row r="7">
      <c r="B7" t="str">
        <v>B1 (mm)</v>
      </c>
      <c r="C7">
        <v>600</v>
      </c>
      <c r="F7" t="str">
        <v>(2)-Cánh SỔ ngậm khung</v>
      </c>
      <c r="G7">
        <v>6</v>
      </c>
    </row>
    <row r="8">
      <c r="B8" t="str">
        <v>H1 (mm)</v>
      </c>
      <c r="C8">
        <v>1500</v>
      </c>
      <c r="F8" t="str">
        <v>(3)-Hở giữa cửa ĐI 2 (4) cánh</v>
      </c>
      <c r="G8">
        <v>5</v>
      </c>
    </row>
    <row r="9">
      <c r="B9" t="str">
        <v>Loại kính</v>
      </c>
      <c r="C9">
        <v>6</v>
      </c>
      <c r="F9" t="str">
        <v>(4)-Hở cánh cửa ĐI 4 cánh</v>
      </c>
      <c r="G9">
        <v>5</v>
      </c>
    </row>
    <row r="10">
      <c r="B10" t="str">
        <v>Số bộ</v>
      </c>
      <c r="C10">
        <v>1</v>
      </c>
      <c r="D10">
        <f>C7</f>
        <v>600</v>
      </c>
      <c r="E10">
        <f>(C5-C7*2)/2</f>
        <v>500</v>
      </c>
      <c r="F10" t="str">
        <v>(5)-Hở giữa cửa SỔ 2 cánh</v>
      </c>
      <c r="G10">
        <v>5</v>
      </c>
    </row>
    <row r="11">
      <c r="B11" t="str">
        <v>Giá nhôm (VNĐ/Kg)</v>
      </c>
      <c r="C11">
        <v>105000</v>
      </c>
      <c r="F11" t="str">
        <v>(6)-Cánh TRƯỢT ngậm khung</v>
      </c>
      <c r="G11">
        <v>0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3.96</v>
      </c>
      <c r="F13" t="str">
        <v>(8)-Cao khung ĐI quay (tính cánh)</v>
      </c>
      <c r="G13">
        <v>38</v>
      </c>
    </row>
    <row r="14">
      <c r="B14" t="str">
        <v>Tổng diện tích</v>
      </c>
      <c r="C14">
        <f>C13*C10</f>
        <v>3.96</v>
      </c>
      <c r="E14">
        <f>C5</f>
        <v>2200</v>
      </c>
      <c r="F14" t="str">
        <v>(9)-Cao khung ĐI quay (tính đố)</v>
      </c>
      <c r="G14">
        <v>27</v>
      </c>
    </row>
    <row r="15">
      <c r="F15" t="str">
        <v>(8.1)-Cao khung SỔ quay (tính cánh)</v>
      </c>
      <c r="G15">
        <v>38</v>
      </c>
    </row>
    <row r="16">
      <c r="F16" t="str">
        <v>(9.1)-Cao khung SỔ quay (tính đố)</v>
      </c>
      <c r="G16">
        <v>27</v>
      </c>
    </row>
    <row r="17">
      <c r="F17" t="str">
        <v>(10)-Cao đố chia vách (tính cánh)</v>
      </c>
      <c r="G17">
        <v>37</v>
      </c>
    </row>
    <row r="18">
      <c r="F18" t="str">
        <v>(11)-Cao đố chia vách (tính đố)</v>
      </c>
      <c r="G18">
        <v>15</v>
      </c>
    </row>
    <row r="19">
      <c r="F19" t="str">
        <v>(12)-Cao cánh ĐI quay (tính kính, nẹp)</v>
      </c>
      <c r="G19">
        <v>71</v>
      </c>
    </row>
    <row r="20">
      <c r="F20" t="str">
        <v>(13)-Cao cánh ĐI quay (tính đố cánh)</v>
      </c>
      <c r="G20">
        <v>66</v>
      </c>
    </row>
    <row r="21">
      <c r="F21" t="str">
        <v>(14)-Cao đố cánh ĐI quay</v>
      </c>
      <c r="G21">
        <v>30</v>
      </c>
    </row>
    <row r="22">
      <c r="F22" t="str">
        <v>(15)-Cao cánh SỔ quay (tính kính)</v>
      </c>
      <c r="G22">
        <v>57</v>
      </c>
    </row>
    <row r="23">
      <c r="F23" t="str">
        <v>(16)-Cao nẹp (tính nẹp vách, cánh)</v>
      </c>
      <c r="G23">
        <v>19</v>
      </c>
    </row>
    <row r="24">
      <c r="F24" t="str">
        <v>(17)-Cao đố chân cánh cửa đi (tính kính)</v>
      </c>
      <c r="G24">
        <v>126</v>
      </c>
    </row>
    <row r="25">
      <c r="F25" t="str">
        <v>(18)-</v>
      </c>
      <c r="G25">
        <v>0</v>
      </c>
    </row>
    <row r="26">
      <c r="F26" t="str">
        <v>(19)-</v>
      </c>
      <c r="G26">
        <v>0</v>
      </c>
    </row>
    <row r="27">
      <c r="F27" t="str">
        <v>(20)-</v>
      </c>
      <c r="G27">
        <v>0</v>
      </c>
    </row>
    <row r="28">
      <c r="F28" t="str">
        <v>(21)-Dày thanh nối khung</v>
      </c>
      <c r="G28">
        <v>2</v>
      </c>
    </row>
    <row r="29">
      <c r="F29" t="str">
        <v>(22)-Tính đố động = Cánh trừ</v>
      </c>
      <c r="G29">
        <v>19</v>
      </c>
    </row>
    <row r="30">
      <c r="F30" t="str">
        <v>(23)-Tính ốp chân = Cánh trừ</v>
      </c>
      <c r="G30">
        <v>19</v>
      </c>
    </row>
    <row r="31">
      <c r="F31" t="str">
        <v>Ốp đáy cánh cửa đi (kg/m)</v>
      </c>
      <c r="G31">
        <v>0.34</v>
      </c>
      <c r="H31" t="str">
        <v>(22)-Cao gân cánh ĐI 55 (tính kính)</v>
      </c>
      <c r="I31">
        <v>5</v>
      </c>
    </row>
    <row r="32">
      <c r="F32" t="str">
        <v>Khung cửa ĐI quay (kg/m)</v>
      </c>
      <c r="G32">
        <v>0.858</v>
      </c>
    </row>
    <row r="33">
      <c r="F33" t="str">
        <v>Khung cửa SỔ quay (kg/m)</v>
      </c>
      <c r="G33">
        <v>0.858</v>
      </c>
    </row>
    <row r="34">
      <c r="F34" t="str">
        <v>Đố chia khung (kg/m)</v>
      </c>
      <c r="G34">
        <v>0.897</v>
      </c>
    </row>
    <row r="35">
      <c r="F35" t="str">
        <v>Cánh cửa SỔ quay (kg/m)</v>
      </c>
      <c r="G35">
        <v>0.95</v>
      </c>
    </row>
    <row r="36">
      <c r="F36" t="str">
        <v>Cánh cửa ĐI (kg/m)</v>
      </c>
      <c r="G36">
        <v>1.121</v>
      </c>
    </row>
    <row r="37">
      <c r="F37" t="str">
        <v>Đố cánh cửa ĐI (kg/m)</v>
      </c>
      <c r="G37">
        <v>0.849</v>
      </c>
    </row>
    <row r="38">
      <c r="F38" t="str">
        <v>Đố động (kg/m)</v>
      </c>
      <c r="G38">
        <v>0.806</v>
      </c>
    </row>
    <row r="39">
      <c r="F39" t="str">
        <v>Đố chân cánh cửa đi (kg/m)</v>
      </c>
      <c r="G39">
        <v>1.637</v>
      </c>
    </row>
    <row r="40">
      <c r="F40" t="str">
        <v>Nẹp cánh (kg/m)</v>
      </c>
      <c r="G40">
        <v>0.272</v>
      </c>
    </row>
    <row r="41">
      <c r="F41" t="str">
        <v>Nẹp vách (kg/m)</v>
      </c>
      <c r="G41">
        <v>0.238</v>
      </c>
    </row>
    <row r="42">
      <c r="F42" t="str">
        <v>Nối khung (kg/m)</v>
      </c>
      <c r="G42">
        <v>0.348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mở quay bản 57</v>
      </c>
      <c r="C46" t="str">
        <v>Ngang</v>
      </c>
      <c r="D46" t="str">
        <v>3318W</v>
      </c>
      <c r="E46" t="str">
        <v>45-45</v>
      </c>
      <c r="F46">
        <f>$C$10*J46</f>
        <v>2</v>
      </c>
      <c r="G46">
        <f>C5</f>
        <v>2200</v>
      </c>
      <c r="H46">
        <f>$G$33</f>
        <v>0.858</v>
      </c>
      <c r="I46">
        <f>F46*G46*H46/1000</f>
        <v>3.7752</v>
      </c>
      <c r="J46">
        <v>2</v>
      </c>
    </row>
    <row r="47">
      <c r="B47" t="str">
        <v>Khung mở quay bản 57</v>
      </c>
      <c r="C47" t="str">
        <v>Đứng</v>
      </c>
      <c r="D47" t="str">
        <v>3318W</v>
      </c>
      <c r="E47" t="str">
        <v>45-45</v>
      </c>
      <c r="F47">
        <f>$C$10*J47</f>
        <v>2</v>
      </c>
      <c r="G47">
        <f>C6</f>
        <v>1800</v>
      </c>
      <c r="H47">
        <f>$G$33</f>
        <v>0.858</v>
      </c>
      <c r="I47">
        <f>F47*G47*H47/1000</f>
        <v>3.0887999999999995</v>
      </c>
      <c r="J47">
        <v>2</v>
      </c>
    </row>
    <row r="48">
      <c r="B48" t="str">
        <v>Đố chia khung</v>
      </c>
      <c r="C48" t="str">
        <v>Đứng</v>
      </c>
      <c r="D48" t="str">
        <v>3313W</v>
      </c>
      <c r="E48" t="str">
        <v>90-90</v>
      </c>
      <c r="F48">
        <f>$C$10*J48</f>
        <v>3</v>
      </c>
      <c r="G48">
        <f>G47-G16*2</f>
        <v>1746</v>
      </c>
      <c r="H48">
        <f>$G$34</f>
        <v>0.897</v>
      </c>
      <c r="I48">
        <f>F48*G48*H48/1000</f>
        <v>4.698486</v>
      </c>
      <c r="J48">
        <v>3</v>
      </c>
    </row>
    <row r="49">
      <c r="B49" t="str">
        <v>Đố chia khung</v>
      </c>
      <c r="C49" t="str">
        <v>Ngang</v>
      </c>
      <c r="D49" t="str">
        <v>3313W</v>
      </c>
      <c r="E49" t="str">
        <v>90-90</v>
      </c>
      <c r="F49">
        <f>$C$10*J49</f>
        <v>2</v>
      </c>
      <c r="G49">
        <f>C7-G16-G18/2</f>
        <v>565.5</v>
      </c>
      <c r="H49">
        <f>$G$34</f>
        <v>0.897</v>
      </c>
      <c r="I49">
        <f>F49*G49*H49/1000</f>
        <v>1.014507</v>
      </c>
      <c r="J49">
        <v>2</v>
      </c>
    </row>
    <row r="50">
      <c r="B50" t="str">
        <v>Cánh cửa sổ quay</v>
      </c>
      <c r="C50" t="str">
        <v>Ngang</v>
      </c>
      <c r="D50" t="str">
        <v>3202W</v>
      </c>
      <c r="E50" t="str">
        <v>45-45</v>
      </c>
      <c r="F50">
        <f>$C$10*J50</f>
        <v>4</v>
      </c>
      <c r="G50">
        <f>C7-G15-G17/2+G7*2</f>
        <v>555.5</v>
      </c>
      <c r="H50">
        <f>$G$35</f>
        <v>0.95</v>
      </c>
      <c r="I50">
        <f>F50*G50*H50/1000</f>
        <v>2.1109</v>
      </c>
      <c r="J50">
        <v>4</v>
      </c>
    </row>
    <row r="51">
      <c r="B51" t="str">
        <v>Cánh cửa sổ quay</v>
      </c>
      <c r="C51" t="str">
        <v>Đứng</v>
      </c>
      <c r="D51" t="str">
        <v>3202W</v>
      </c>
      <c r="E51" t="str">
        <v>45-45</v>
      </c>
      <c r="F51">
        <f>$C$10*J51</f>
        <v>4</v>
      </c>
      <c r="G51">
        <f>C8-G15-G17/2+G7*2</f>
        <v>1455.5</v>
      </c>
      <c r="H51">
        <f>$G$35</f>
        <v>0.95</v>
      </c>
      <c r="I51">
        <f>F51*G51*H51/1000</f>
        <v>5.5309</v>
      </c>
      <c r="J51">
        <v>4</v>
      </c>
    </row>
    <row r="52">
      <c r="B52" t="str">
        <v>Nẹp cánh, vách</v>
      </c>
      <c r="C52" t="str">
        <v>Ngang</v>
      </c>
      <c r="D52" t="str">
        <v>C3295</v>
      </c>
      <c r="E52" t="str">
        <v>90-90</v>
      </c>
      <c r="F52">
        <f>$C$10*J52</f>
        <v>4</v>
      </c>
      <c r="G52">
        <f>G50-$G$22*2</f>
        <v>441.5</v>
      </c>
      <c r="H52">
        <f>$G$40</f>
        <v>0.272</v>
      </c>
      <c r="I52">
        <f>F52*G52*H52/1000</f>
        <v>0.48035200000000006</v>
      </c>
      <c r="J52">
        <v>4</v>
      </c>
    </row>
    <row r="53">
      <c r="B53" t="str">
        <v>Nẹp cánh, vách</v>
      </c>
      <c r="C53" t="str">
        <v>Đứng</v>
      </c>
      <c r="D53" t="str">
        <v>C3295</v>
      </c>
      <c r="E53" t="str">
        <v>90-90</v>
      </c>
      <c r="F53">
        <f>$C$10*J53</f>
        <v>4</v>
      </c>
      <c r="G53">
        <f>G51-$G$22*2-$G$23*2</f>
        <v>1303.5</v>
      </c>
      <c r="H53">
        <f>$G$40</f>
        <v>0.272</v>
      </c>
      <c r="I53">
        <f>F53*G53*H53/1000</f>
        <v>1.4182080000000001</v>
      </c>
      <c r="J53">
        <v>4</v>
      </c>
    </row>
    <row r="54">
      <c r="B54" t="str">
        <v>Nẹp khung liền cửa</v>
      </c>
      <c r="C54" t="str">
        <v>Ngang</v>
      </c>
      <c r="D54" t="str">
        <v>C3296</v>
      </c>
      <c r="E54" t="str">
        <v>90-90</v>
      </c>
      <c r="F54">
        <f>$C$10*J54</f>
        <v>4</v>
      </c>
      <c r="G54">
        <f>C7-G15-G17/2</f>
        <v>543.5</v>
      </c>
      <c r="H54">
        <f>$G$41</f>
        <v>0.238</v>
      </c>
      <c r="I54">
        <f>F54*G54*H54/1000</f>
        <v>0.5174119999999999</v>
      </c>
      <c r="J54">
        <v>4</v>
      </c>
    </row>
    <row r="55">
      <c r="B55" t="str">
        <v>Nẹp khung liền cửa</v>
      </c>
      <c r="C55" t="str">
        <v>Ngang</v>
      </c>
      <c r="D55" t="str">
        <v>C3296</v>
      </c>
      <c r="E55" t="str">
        <v>90-90</v>
      </c>
      <c r="F55">
        <f>$C$10*J55</f>
        <v>4</v>
      </c>
      <c r="G55">
        <f>G46/2-C7-G17</f>
        <v>463</v>
      </c>
      <c r="H55">
        <f>$G$41</f>
        <v>0.238</v>
      </c>
      <c r="I55">
        <f>F55*G55*H55/1000</f>
        <v>0.44077599999999995</v>
      </c>
      <c r="J55">
        <v>4</v>
      </c>
    </row>
    <row r="56">
      <c r="B56" t="str">
        <v>Nẹp khung liền cửa</v>
      </c>
      <c r="C56" t="str">
        <v>Đứng</v>
      </c>
      <c r="D56" t="str">
        <v>C3296</v>
      </c>
      <c r="E56" t="str">
        <v>90-90</v>
      </c>
      <c r="F56">
        <f>$C$10*J56</f>
        <v>4</v>
      </c>
      <c r="G56">
        <f>G47-C8-G15-G17/2-G23*2</f>
        <v>205.5</v>
      </c>
      <c r="H56">
        <f>$G$41</f>
        <v>0.238</v>
      </c>
      <c r="I56">
        <f>F56*G56*H56/1000</f>
        <v>0.195636</v>
      </c>
      <c r="J56">
        <v>4</v>
      </c>
    </row>
    <row r="57">
      <c r="B57" t="str">
        <v>Nẹp khung liền cửa</v>
      </c>
      <c r="C57" t="str">
        <v>Đứng</v>
      </c>
      <c r="D57" t="str">
        <v>C3296</v>
      </c>
      <c r="E57" t="str">
        <v>90-90</v>
      </c>
      <c r="F57">
        <f>$C$10*J57</f>
        <v>4</v>
      </c>
      <c r="G57">
        <f>C6-G15*2-G23*2</f>
        <v>1686</v>
      </c>
      <c r="H57">
        <f>$G$41</f>
        <v>0.238</v>
      </c>
      <c r="I57">
        <f>F57*G57*H57/1000</f>
        <v>1.6050719999999998</v>
      </c>
      <c r="J57">
        <v>4</v>
      </c>
    </row>
    <row r="60">
      <c r="B60" t="str">
        <v>KÍCH THƯỚC CẮT KÍNH</v>
      </c>
    </row>
    <row r="61">
      <c r="B61" t="str">
        <v>Tên kính</v>
      </c>
      <c r="C61" t="str">
        <v>Rộng</v>
      </c>
      <c r="D61" t="str">
        <v>Cao</v>
      </c>
      <c r="E61" t="str">
        <v>Số lượng</v>
      </c>
      <c r="F61" t="str">
        <v>Diện tích kính (m2)</v>
      </c>
      <c r="G61" t="str">
        <v>Vị trí</v>
      </c>
    </row>
    <row r="62">
      <c r="B62">
        <f>C9</f>
        <v>6</v>
      </c>
      <c r="C62">
        <f>G50-G22*2-G12</f>
        <v>433.5</v>
      </c>
      <c r="D62">
        <f>G51-G22*2-G12</f>
        <v>1333.5</v>
      </c>
      <c r="E62">
        <f>2*C10</f>
        <v>2</v>
      </c>
      <c r="F62">
        <f>E62*D62*C62/10^6</f>
        <v>1.1561445</v>
      </c>
      <c r="G62" t="str">
        <v>cánh</v>
      </c>
    </row>
    <row r="63">
      <c r="B63">
        <f>C9</f>
        <v>6</v>
      </c>
      <c r="C63">
        <f>C7-G15-G17/2-G12</f>
        <v>535.5</v>
      </c>
      <c r="D63">
        <f>G47-C8-G15-G17/2-G12</f>
        <v>235.5</v>
      </c>
      <c r="E63">
        <f>2*C10</f>
        <v>2</v>
      </c>
      <c r="F63">
        <f>E63*D63*C63/10^6</f>
        <v>0.2522205</v>
      </c>
      <c r="G63" t="str">
        <v>vách</v>
      </c>
    </row>
    <row r="64">
      <c r="B64">
        <f>C9</f>
        <v>6</v>
      </c>
      <c r="C64">
        <f>G46/2-C7-G17-G12</f>
        <v>455</v>
      </c>
      <c r="D64">
        <f>C6-G15*2-G12</f>
        <v>1716</v>
      </c>
      <c r="E64">
        <f>2*C10</f>
        <v>2</v>
      </c>
      <c r="F64">
        <f>E64*D64*C64/10^6</f>
        <v>1.56156</v>
      </c>
      <c r="G64" t="str">
        <v>vách</v>
      </c>
    </row>
    <row r="67">
      <c r="B67" t="str">
        <v>PHỤ KIỆN</v>
      </c>
      <c r="C67" t="str">
        <v>sổ 1 cánh</v>
      </c>
    </row>
    <row r="68">
      <c r="B68" t="str">
        <v>Tên</v>
      </c>
      <c r="C68" t="str">
        <v>Mã</v>
      </c>
      <c r="D68" t="str">
        <v>ĐVT</v>
      </c>
      <c r="E68" t="str">
        <v>Số lượng</v>
      </c>
      <c r="H68" t="str">
        <v>SL/Bộ</v>
      </c>
    </row>
    <row r="69">
      <c r="B69" t="str">
        <v>Bản lề cửa sổ XF55</v>
      </c>
      <c r="C69" t="str">
        <v>XF55-SBL</v>
      </c>
      <c r="D69" t="str">
        <v>Chiếc</v>
      </c>
      <c r="E69">
        <f>H69*$H$5*2</f>
        <v>4</v>
      </c>
      <c r="H69">
        <v>2</v>
      </c>
    </row>
    <row r="70">
      <c r="B70" t="str">
        <v>Tay nắm cửa sổ mở quay XF55</v>
      </c>
      <c r="C70" t="str">
        <v>XF55-STN</v>
      </c>
      <c r="D70" t="str">
        <v>Chiếc</v>
      </c>
      <c r="E70">
        <f>H70*$H$5*2</f>
        <v>2</v>
      </c>
      <c r="H70">
        <v>1</v>
      </c>
    </row>
    <row r="71">
      <c r="B71" t="str">
        <v>Thanh chuyển động XF55</v>
      </c>
      <c r="C71" t="str">
        <v>XF55-STCD</v>
      </c>
      <c r="D71" t="str">
        <v>Thanh</v>
      </c>
      <c r="E71">
        <f>H71*$H$5*2</f>
        <v>2</v>
      </c>
      <c r="H71">
        <v>1</v>
      </c>
    </row>
    <row r="72">
      <c r="B72" t="str">
        <v>Vấu chốt quay hất cửa sổ XF55</v>
      </c>
      <c r="C72" t="str">
        <v>XF55-SV</v>
      </c>
      <c r="D72" t="str">
        <v>Chiếc</v>
      </c>
      <c r="E72">
        <f>H72*$H$5*2</f>
        <v>4</v>
      </c>
      <c r="H72">
        <v>2</v>
      </c>
    </row>
    <row r="73">
      <c r="B73" t="str">
        <v>Ke khung cửa sổ mở quay XF55</v>
      </c>
      <c r="C73" t="str">
        <v>XF55-SKNK</v>
      </c>
      <c r="D73" t="str">
        <v>Chiếc</v>
      </c>
      <c r="E73">
        <f>H73*$H$5</f>
        <v>4</v>
      </c>
      <c r="H73">
        <v>4</v>
      </c>
    </row>
    <row r="74">
      <c r="B74" t="str">
        <v>Ke cánh cửa sổ mở quay XF55</v>
      </c>
      <c r="C74" t="str">
        <v>XF55-SKNC</v>
      </c>
      <c r="D74" t="str">
        <v>Chiếc</v>
      </c>
      <c r="E74">
        <f>H74*$H$5*2</f>
        <v>8</v>
      </c>
      <c r="H74">
        <v>4</v>
      </c>
    </row>
    <row r="75">
      <c r="B75" t="str">
        <v>Ke tăng cứng XF55</v>
      </c>
      <c r="C75" t="str">
        <v>XF55-KTC</v>
      </c>
      <c r="D75" t="str">
        <v>Chiếc</v>
      </c>
      <c r="E75">
        <f>H75*$H$5*2</f>
        <v>8</v>
      </c>
      <c r="H75">
        <v>4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SUM(I46:I57)</f>
        <v>24.876248999999998</v>
      </c>
      <c r="E80">
        <f>C11</f>
        <v>105000</v>
      </c>
      <c r="F80">
        <f>E80*D80</f>
        <v>2612006.1449999996</v>
      </c>
    </row>
    <row r="81">
      <c r="B81" t="str">
        <v>Kính (VNĐ)</v>
      </c>
      <c r="C81" t="str">
        <v>m2</v>
      </c>
      <c r="D81">
        <f>SUM(F62:F64)</f>
        <v>2.969925</v>
      </c>
      <c r="E81">
        <f>C12</f>
        <v>245000</v>
      </c>
      <c r="F81">
        <f>E81*D81</f>
        <v>727631.625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3339637.7699999996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B60</v>
      </c>
      <c r="D2" t="str">
        <v>B67</v>
      </c>
      <c r="E2" t="str">
        <v>B78</v>
      </c>
    </row>
    <row r="3">
      <c r="A3" t="str">
        <v>C12</v>
      </c>
      <c r="B3" t="str">
        <v>G57</v>
      </c>
      <c r="C3" t="str">
        <v>G64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2021-09-05T07:59:13Z</dcterms:modified>
  <cp:lastModifiedBy>ACER</cp:lastModifiedBy>
  <cp:lastPrinted>2014-12-05T03:23:20Z</cp:lastPrinted>
  <dc:creator>Windows User</dc:creator>
</cp:coreProperties>
</file>