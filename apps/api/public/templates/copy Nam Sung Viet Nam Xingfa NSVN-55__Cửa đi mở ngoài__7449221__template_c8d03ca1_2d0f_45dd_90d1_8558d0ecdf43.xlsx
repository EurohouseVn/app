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CDMQ2C1" sheetId="1" r:id="rId1"/>
    <sheet name="TSS1" sheetId="2" r:id="rId2"/>
  </sheets>
  <definedNames>
    <definedName name="AllSh">SUBSTITUTE(ShN,"["&amp;Wb&amp;"]","")</definedName>
    <definedName name="EP08E">'[1]gia vat tu'!$D$13</definedName>
    <definedName name="EP265K">'[1]gia vat tu'!$D$16</definedName>
    <definedName name="EP27E">'[1]gia vat tu'!$D$14</definedName>
    <definedName name="Glass" localSheetId="0">[2]Glass!$B$8:$B$17</definedName>
    <definedName name="Henhom" localSheetId="0">[2]Alu!$D$91:$D$95</definedName>
    <definedName name="K_Inox">'[1]gia vat tu'!$D$21</definedName>
    <definedName name="Keo_bot">'[1]gia vat tu'!$D$20</definedName>
    <definedName name="kinh">#REF!</definedName>
    <definedName name="MA_CSMQXF55">[2]Alu!$B$33:$B$48</definedName>
    <definedName name="SiK">'[1]gia vat tu'!$D$18</definedName>
    <definedName name="SiT">'[1]gia vat tu'!$D$19</definedName>
    <definedName name="VIT_Inox">'[1]gia vat tu'!$D$24</definedName>
    <definedName name="vitri">[2]Alu!$D$97:$D$109</definedName>
    <definedName name="VT_PHU" localSheetId="0">[2]Phụ!$B$2:$B$14</definedName>
  </definedNames>
</workbook>
</file>

<file path=xl/styles.xml><?xml version="1.0" encoding="utf-8"?>
<styleSheet xmlns="http://schemas.openxmlformats.org/spreadsheetml/2006/main" xmlns:vt="http://schemas.openxmlformats.org/officeDocument/2006/docPropsVTypes">
  <numFmts count="6">
    <numFmt numFmtId="43" formatCode="_(* #,##0.00_);_(* \(#,##0.00\);_(* &quot;-&quot;??_);_(@_)"/>
    <numFmt numFmtId="56" formatCode="&quot;上午/下午 &quot;hh&quot;時&quot;mm&quot;分&quot;ss&quot;秒 &quot;"/>
    <numFmt numFmtId="164" formatCode="_(* #,##0_);_(* \(#,##0\);_(* &quot;-&quot;??_);_(@_)"/>
    <numFmt numFmtId="165" formatCode="&quot;H2=&quot;0"/>
    <numFmt numFmtId="166" formatCode="_(* #,##0.0_);_(* \(#,##0.0\);_(* &quot;-&quot;??_);_(@_)"/>
    <numFmt numFmtId="167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1"/>
  <sheetViews>
    <sheetView workbookViewId="0" rightToLeft="0"/>
  </sheetViews>
  <sheetData>
    <row r="2">
      <c r="B2" t="str">
        <v>BẢN VẼ SẢN XUẤT XF</v>
      </c>
    </row>
    <row r="3">
      <c r="B3" t="str">
        <v>Tên khách hàng</v>
      </c>
      <c r="C3" t="str">
        <v>Anh Tuấn</v>
      </c>
      <c r="F3" t="str">
        <v>Loại kính</v>
      </c>
      <c r="G3">
        <v>6</v>
      </c>
    </row>
    <row r="4">
      <c r="B4" t="str">
        <v>Ký hiệu cửa</v>
      </c>
      <c r="C4" t="str">
        <v>D1</v>
      </c>
      <c r="F4" t="str">
        <v>Giá nhôm (VNĐ/Kg)</v>
      </c>
      <c r="G4">
        <v>98000</v>
      </c>
      <c r="H4" t="str">
        <v>Cửa đi mở quay 2 cánh liền vách</v>
      </c>
    </row>
    <row r="5">
      <c r="B5" t="str">
        <v>Rộng Cửa (B) (mm)</v>
      </c>
      <c r="C5">
        <v>1800</v>
      </c>
      <c r="F5" t="str">
        <v>Giá kính (VNĐ/m2)</v>
      </c>
      <c r="G5">
        <v>245000</v>
      </c>
      <c r="H5">
        <f>C11</f>
        <v>1</v>
      </c>
      <c r="I5">
        <f>C14</f>
        <v>4.68</v>
      </c>
    </row>
    <row r="6">
      <c r="B6" t="str">
        <v>Cao Cửa (H) (mm)</v>
      </c>
      <c r="C6">
        <v>2600</v>
      </c>
      <c r="F6" t="str">
        <v>(1)-Cánh cửa đi ngậm khung</v>
      </c>
      <c r="G6">
        <v>7</v>
      </c>
    </row>
    <row r="7">
      <c r="B7" t="str">
        <v>H1 (mm)</v>
      </c>
      <c r="C7">
        <v>2250</v>
      </c>
      <c r="F7" t="str">
        <v>(2)-Cánh cửa sổ ngậm khung</v>
      </c>
      <c r="G7">
        <v>6</v>
      </c>
    </row>
    <row r="8">
      <c r="B8" t="str">
        <v>H2 (mm)</v>
      </c>
      <c r="C8">
        <v>900</v>
      </c>
      <c r="F8" t="str">
        <v>(3)-Khe hở giữa cửa đi 2 (4) cánh</v>
      </c>
      <c r="G8">
        <v>5</v>
      </c>
    </row>
    <row r="9">
      <c r="B9" t="str">
        <v>Hở chân cánh (mm)</v>
      </c>
      <c r="C9">
        <v>7</v>
      </c>
      <c r="F9" t="str">
        <v>(4)-Khe hở cánh cửa đi 4 cánh</v>
      </c>
      <c r="G9">
        <v>5</v>
      </c>
    </row>
    <row r="10">
      <c r="B10" t="str">
        <v>Loại kính</v>
      </c>
      <c r="C10">
        <v>6</v>
      </c>
      <c r="D10">
        <f>C6-C7</f>
        <v>350</v>
      </c>
      <c r="F10" t="str">
        <v>(5)-Khe hở giữa cửa sổ 2 cánh</v>
      </c>
      <c r="G10">
        <v>5</v>
      </c>
    </row>
    <row r="11">
      <c r="B11" t="str">
        <v>Số bộ</v>
      </c>
      <c r="C11">
        <v>1</v>
      </c>
      <c r="F11" t="str">
        <v>C3328- Khung cửa đi quay (kg/m)</v>
      </c>
      <c r="G11">
        <v>0.941</v>
      </c>
    </row>
    <row r="12">
      <c r="B12" t="str">
        <v>Giá nhôm (VNĐ/Kg)</v>
      </c>
      <c r="C12">
        <v>98000</v>
      </c>
      <c r="F12" t="str">
        <v>C3318- Khung cửa sổ quay (kg/m)</v>
      </c>
      <c r="G12">
        <v>0.751</v>
      </c>
    </row>
    <row r="13">
      <c r="B13" t="str">
        <v>Giá kính (VNĐ/m2)</v>
      </c>
      <c r="C13">
        <v>245000</v>
      </c>
      <c r="F13" t="str">
        <v>C3209- Khung vách (kg/m)</v>
      </c>
      <c r="G13">
        <v>0.707</v>
      </c>
    </row>
    <row r="14">
      <c r="B14" t="str">
        <v>Diện tích/bộ</v>
      </c>
      <c r="C14">
        <f>C5*C6/10^6</f>
        <v>4.68</v>
      </c>
      <c r="F14" t="str">
        <v>C3313- Đố chia khung mở quay (kg/m)</v>
      </c>
      <c r="G14">
        <v>0.905</v>
      </c>
    </row>
    <row r="15">
      <c r="B15" t="str">
        <v>Tổng diện tích</v>
      </c>
      <c r="C15">
        <f>C14*C11</f>
        <v>4.68</v>
      </c>
      <c r="E15">
        <f>C5</f>
        <v>1800</v>
      </c>
      <c r="F15" t="str">
        <v>C3203- Đố chia cánh, vách (kg/m)</v>
      </c>
      <c r="G15">
        <v>0.853</v>
      </c>
    </row>
    <row r="16">
      <c r="F16" t="str">
        <v>C3303- Cánh đi mở quay (kg/m)</v>
      </c>
      <c r="G16">
        <v>1.138</v>
      </c>
    </row>
    <row r="17">
      <c r="F17" t="str">
        <v>C3304- Cánh ngang dưới Cđi (kg/m)</v>
      </c>
      <c r="G17">
        <v>1.529</v>
      </c>
    </row>
    <row r="18">
      <c r="F18" t="str">
        <v>C3323- Đố động cửa đi (kg/m)</v>
      </c>
      <c r="G18">
        <v>0.915</v>
      </c>
    </row>
    <row r="19">
      <c r="F19" t="str">
        <v>C3202- Cánh cửa sổ quay (kg/m)</v>
      </c>
      <c r="G19">
        <v>0.981</v>
      </c>
    </row>
    <row r="20">
      <c r="F20" t="str">
        <v>C3033- Đố động cửa sổ (kg/m)</v>
      </c>
      <c r="G20">
        <v>0.825</v>
      </c>
    </row>
    <row r="21">
      <c r="F21" t="str">
        <v>C3295- Nẹp cánh, vách (kg/m)</v>
      </c>
      <c r="G21">
        <v>0.271</v>
      </c>
    </row>
    <row r="22">
      <c r="F22" t="str">
        <v>C3296- Nẹp vách liền cửa (kg/m)</v>
      </c>
      <c r="G22">
        <v>0.237</v>
      </c>
    </row>
    <row r="23">
      <c r="F23" t="str">
        <v>C3329- Ốp chân cánh (kg/m)</v>
      </c>
      <c r="G23">
        <v>0.428</v>
      </c>
    </row>
    <row r="24">
      <c r="F24" t="str">
        <v>C3300- Nối khung (kg/m)</v>
      </c>
      <c r="G24">
        <v>0.347</v>
      </c>
    </row>
    <row r="25">
      <c r="F25" t="str">
        <v>D1541A- Khung trên cửa trượt (kg/m)</v>
      </c>
      <c r="G25">
        <v>1.064</v>
      </c>
    </row>
    <row r="26">
      <c r="F26" t="str">
        <v>D1942- khung dưới ray lệch 25-35 (kg/m)</v>
      </c>
      <c r="G26">
        <v>1.147</v>
      </c>
    </row>
    <row r="27">
      <c r="F27" t="str">
        <v>D1942A- khung dưới ray bằng 25 (kg/m)</v>
      </c>
      <c r="G27">
        <v>1.033</v>
      </c>
    </row>
    <row r="28">
      <c r="F28" t="str">
        <v>D1543A- Khung Đứng cửa trượt (kg/m)</v>
      </c>
      <c r="G28">
        <v>0.793</v>
      </c>
    </row>
    <row r="29">
      <c r="F29" t="str">
        <v>D1544A- Cánh trên H93A cửa trượt (kg/m)</v>
      </c>
      <c r="G29">
        <v>0.749</v>
      </c>
    </row>
    <row r="30">
      <c r="F30" t="str">
        <v>D1555A- Cánh dưới H93A cửa trượt (kg/m)</v>
      </c>
      <c r="G30">
        <v>0.902</v>
      </c>
    </row>
    <row r="31">
      <c r="F31" t="str">
        <v>D1546A- Cánh đứng H93A cửa trượt (kg/m)</v>
      </c>
      <c r="G31">
        <v>0.873</v>
      </c>
    </row>
    <row r="32">
      <c r="F32" t="str">
        <v>D1547A- Cánh móc H93A cửa trượt (kg/m)</v>
      </c>
      <c r="G32">
        <v>0.781</v>
      </c>
    </row>
    <row r="33">
      <c r="F33" t="str">
        <v>D1548A- Hèm đối đầu (kg/m)</v>
      </c>
      <c r="G33">
        <v>0.452</v>
      </c>
    </row>
    <row r="34">
      <c r="F34" t="str">
        <v>D1559A- Khung vách kính trượt (kg/m)</v>
      </c>
      <c r="G34">
        <v>0.784</v>
      </c>
    </row>
    <row r="35">
      <c r="F35" t="str">
        <v>D1549A- Ốp vách (kg/m)</v>
      </c>
      <c r="G35">
        <v>0.489</v>
      </c>
    </row>
    <row r="36">
      <c r="F36" t="str">
        <v>D2618- Đố T vách kính trượt (kg/m)</v>
      </c>
      <c r="G36">
        <v>1.104</v>
      </c>
    </row>
    <row r="37">
      <c r="F37" t="str">
        <v>C101- Sập vách cửa trượt (kg/m)</v>
      </c>
      <c r="G37">
        <v>0.133</v>
      </c>
    </row>
    <row r="38">
      <c r="F38" t="str">
        <v>XF- Khung cửa trượt 55 (kg/m)</v>
      </c>
      <c r="G38">
        <v>0.835</v>
      </c>
    </row>
    <row r="39">
      <c r="F39" t="str">
        <v>XF- Cánh cửa trượt 55 (kg/m)</v>
      </c>
      <c r="G39">
        <v>0.783</v>
      </c>
    </row>
    <row r="40">
      <c r="F40" t="str">
        <v>XF- Móc cánh cửa trượt 55 (kg/m)</v>
      </c>
      <c r="G40">
        <v>0.292</v>
      </c>
    </row>
    <row r="41">
      <c r="F41" t="str">
        <v>XF- Hèm đối đầu trượt 55 (kg/m)</v>
      </c>
      <c r="G41">
        <v>0.229</v>
      </c>
    </row>
    <row r="44">
      <c r="B44" t="str">
        <v>KÍCH THƯỚC CẮT NHÔM</v>
      </c>
    </row>
    <row r="45" xml:space="preserve">
      <c r="B45" t="str">
        <v>Tên thanh nhôm</v>
      </c>
      <c r="C45" t="str">
        <v>Vị trí thanh</v>
      </c>
      <c r="D45" t="str">
        <v>Ký hiệu</v>
      </c>
      <c r="E45" t="str">
        <v>Góc cắt</v>
      </c>
      <c r="F45" t="str">
        <v>Số lượng</v>
      </c>
      <c r="G45" t="str" xml:space="preserve">
        <v xml:space="preserve">Kích thước_x000d_
(mm)</v>
      </c>
      <c r="H45" t="str" xml:space="preserve">
        <v xml:space="preserve">Trọng lượng_x000d_
(kg/m)</v>
      </c>
      <c r="I45" t="str">
        <v>Tổng trọng lượng (Kg)</v>
      </c>
      <c r="J45" t="str">
        <v>Số lượng</v>
      </c>
    </row>
    <row r="46">
      <c r="B46" t="str">
        <v>XF- Khung cửa sổ quay</v>
      </c>
      <c r="C46" t="str">
        <v>Ngang trên</v>
      </c>
      <c r="D46" t="str">
        <v>C3318m</v>
      </c>
      <c r="E46" t="str">
        <v>45-45</v>
      </c>
      <c r="F46">
        <f>$C$11*J46</f>
        <v>1</v>
      </c>
      <c r="G46">
        <f>C5</f>
        <v>1800</v>
      </c>
      <c r="H46">
        <f>$G$12</f>
        <v>0.751</v>
      </c>
      <c r="I46">
        <f>F46*G46*H46/1000</f>
        <v>1.3518</v>
      </c>
      <c r="J46">
        <v>1</v>
      </c>
    </row>
    <row r="47">
      <c r="B47" t="str">
        <v>XF- Khung cửa sổ quay</v>
      </c>
      <c r="C47" t="str">
        <v>Đứng</v>
      </c>
      <c r="D47" t="str">
        <v>C3318m</v>
      </c>
      <c r="E47" t="str">
        <v>90-45-90</v>
      </c>
      <c r="F47">
        <f>$C$11*J47</f>
        <v>2</v>
      </c>
      <c r="G47">
        <f>C6</f>
        <v>2600</v>
      </c>
      <c r="H47">
        <f>$G$12</f>
        <v>0.751</v>
      </c>
      <c r="I47">
        <f>F47*G47*H47/1000</f>
        <v>3.9052</v>
      </c>
      <c r="J47">
        <v>2</v>
      </c>
    </row>
    <row r="48">
      <c r="B48" t="str">
        <v>XF- Đố chia khung mở quay</v>
      </c>
      <c r="C48" t="str">
        <v>Ngang</v>
      </c>
      <c r="D48" t="str">
        <v>C3313m</v>
      </c>
      <c r="E48" t="str">
        <v>90-90</v>
      </c>
      <c r="F48">
        <f>$C$11*J48</f>
        <v>1</v>
      </c>
      <c r="G48">
        <f>G46-20*2</f>
        <v>1760</v>
      </c>
      <c r="H48">
        <f>$G$14</f>
        <v>0.905</v>
      </c>
      <c r="I48">
        <f>F48*G48*H48/1000</f>
        <v>1.5928</v>
      </c>
      <c r="J48">
        <v>1</v>
      </c>
    </row>
    <row r="49">
      <c r="B49" t="str">
        <v>XF- Cánh đi mở ngoài</v>
      </c>
      <c r="C49" t="str">
        <v>Ngang</v>
      </c>
      <c r="D49" t="str">
        <v>C3303m</v>
      </c>
      <c r="E49" t="str">
        <v>45-45</v>
      </c>
      <c r="F49">
        <f>$C$11*J49</f>
        <v>4</v>
      </c>
      <c r="G49">
        <f>(G46-31*2-G8+G6*2)/2</f>
        <v>873.5</v>
      </c>
      <c r="H49">
        <f>$G$16</f>
        <v>1.138</v>
      </c>
      <c r="I49">
        <f>F49*G49*H49/1000</f>
        <v>3.9761719999999996</v>
      </c>
      <c r="J49">
        <v>4</v>
      </c>
    </row>
    <row r="50">
      <c r="B50" t="str">
        <v>XF- Cánh đi mở ngoài</v>
      </c>
      <c r="C50" t="str">
        <v>Đứng</v>
      </c>
      <c r="D50" t="str">
        <v>C3303m</v>
      </c>
      <c r="E50" t="str">
        <v>45-45</v>
      </c>
      <c r="F50">
        <f>$C$11*J50</f>
        <v>4</v>
      </c>
      <c r="G50">
        <f>G47-D10+J63-C9-7+G6</f>
        <v>2231.5</v>
      </c>
      <c r="H50">
        <f>$G$16</f>
        <v>1.138</v>
      </c>
      <c r="I50">
        <f>F50*G50*H50/1000</f>
        <v>10.157787999999998</v>
      </c>
      <c r="J50">
        <v>4</v>
      </c>
    </row>
    <row r="51">
      <c r="B51" t="str">
        <v>XF- Đố chia cánh, vách</v>
      </c>
      <c r="C51" t="str">
        <v>Ngang</v>
      </c>
      <c r="D51" t="str">
        <v>C3203m</v>
      </c>
      <c r="E51" t="str">
        <v>90-90</v>
      </c>
      <c r="F51">
        <f>$C$11*J51</f>
        <v>2</v>
      </c>
      <c r="G51">
        <f>G49+J64</f>
        <v>747.5</v>
      </c>
      <c r="H51">
        <f>$G$15</f>
        <v>0.853</v>
      </c>
      <c r="I51">
        <f>F51*G51*H51/1000</f>
        <v>1.275235</v>
      </c>
      <c r="J51">
        <v>2</v>
      </c>
    </row>
    <row r="52">
      <c r="B52" t="str">
        <v>XF- Nẹp cánh, vách</v>
      </c>
      <c r="C52" t="str">
        <v>Ngang</v>
      </c>
      <c r="D52" t="str">
        <v>C3295m</v>
      </c>
      <c r="E52" t="str">
        <v>90-90</v>
      </c>
      <c r="F52">
        <f>$C$11*J52</f>
        <v>8</v>
      </c>
      <c r="G52">
        <f>G49+J65</f>
        <v>737.5</v>
      </c>
      <c r="H52">
        <f>$G$21</f>
        <v>0.271</v>
      </c>
      <c r="I52">
        <f>F52*G52*H52/1000</f>
        <v>1.5989</v>
      </c>
      <c r="J52">
        <v>8</v>
      </c>
    </row>
    <row r="53">
      <c r="B53" t="str">
        <v>XF- Nẹp cánh, vách</v>
      </c>
      <c r="C53" t="str">
        <v>Đứng</v>
      </c>
      <c r="D53" t="str">
        <v>C3295m</v>
      </c>
      <c r="E53" t="str">
        <v>90-90</v>
      </c>
      <c r="F53">
        <f>$C$11*J53</f>
        <v>4</v>
      </c>
      <c r="G53">
        <f>G50-C8+J66</f>
        <v>1210.5</v>
      </c>
      <c r="H53">
        <f>$G$21</f>
        <v>0.271</v>
      </c>
      <c r="I53">
        <f>F53*G53*H53/1000</f>
        <v>1.312182</v>
      </c>
      <c r="J53">
        <v>4</v>
      </c>
    </row>
    <row r="54">
      <c r="B54" t="str">
        <v>XF- Nẹp cánh, vách</v>
      </c>
      <c r="C54" t="str">
        <v>Đứng</v>
      </c>
      <c r="D54" t="str">
        <v>C3295m</v>
      </c>
      <c r="E54" t="str">
        <v>90-90</v>
      </c>
      <c r="F54">
        <f>$C$11*J54</f>
        <v>4</v>
      </c>
      <c r="G54">
        <f>C8+J67</f>
        <v>779</v>
      </c>
      <c r="H54">
        <f>$G$21</f>
        <v>0.271</v>
      </c>
      <c r="I54">
        <f>F54*G54*H54/1000</f>
        <v>0.8444360000000001</v>
      </c>
      <c r="J54">
        <v>4</v>
      </c>
    </row>
    <row r="55">
      <c r="B55" t="str">
        <v>XF- Ốp chân cánh</v>
      </c>
      <c r="C55" t="str">
        <v>Ngang</v>
      </c>
      <c r="D55" t="str">
        <v>C22900m</v>
      </c>
      <c r="E55" t="str">
        <v>90-90</v>
      </c>
      <c r="F55">
        <f>$C$11*J55</f>
        <v>2</v>
      </c>
      <c r="G55">
        <f>G49-32*2</f>
        <v>809.5</v>
      </c>
      <c r="H55">
        <f>$G$23</f>
        <v>0.428</v>
      </c>
      <c r="I55">
        <f>F55*G55*H55/1000</f>
        <v>0.692932</v>
      </c>
      <c r="J55">
        <v>2</v>
      </c>
    </row>
    <row r="56">
      <c r="B56" t="str">
        <v>XF- Đố động cửa đi và cửa sổ</v>
      </c>
      <c r="C56" t="str">
        <v>Đứng</v>
      </c>
      <c r="D56" t="str">
        <v>C22903m</v>
      </c>
      <c r="E56" t="str">
        <v>90-90</v>
      </c>
      <c r="F56">
        <f>$C$11*J56</f>
        <v>1</v>
      </c>
      <c r="G56">
        <f>G50-32</f>
        <v>2199.5</v>
      </c>
      <c r="H56">
        <f>$G$18</f>
        <v>0.915</v>
      </c>
      <c r="I56">
        <f>F56*G56*H56/1000</f>
        <v>2.0125425</v>
      </c>
      <c r="J56">
        <v>1</v>
      </c>
    </row>
    <row r="57">
      <c r="B57" t="str">
        <v>XF- Nẹp vách liền cửa</v>
      </c>
      <c r="C57" t="str">
        <v>Ngang</v>
      </c>
      <c r="D57" t="str">
        <v>C3296m</v>
      </c>
      <c r="E57" t="str">
        <v>90-90</v>
      </c>
      <c r="F57">
        <f>$C$11*J57</f>
        <v>2</v>
      </c>
      <c r="G57">
        <f>G46+J70</f>
        <v>1738</v>
      </c>
      <c r="H57">
        <f>$G$22</f>
        <v>0.237</v>
      </c>
      <c r="I57">
        <f>F57*G57*H57/1000</f>
        <v>0.823812</v>
      </c>
      <c r="J57">
        <v>2</v>
      </c>
    </row>
    <row r="58">
      <c r="B58" t="str">
        <v>XF- Nẹp vách liền cửa</v>
      </c>
      <c r="C58" t="str">
        <v>Đứng</v>
      </c>
      <c r="D58" t="str">
        <v>C3296m</v>
      </c>
      <c r="E58" t="str">
        <v>90-90</v>
      </c>
      <c r="F58">
        <f>$C$11*J58</f>
        <v>2</v>
      </c>
      <c r="G58">
        <f>D10+J71</f>
        <v>262.5</v>
      </c>
      <c r="H58">
        <f>$G$22</f>
        <v>0.237</v>
      </c>
      <c r="I58">
        <f>F58*G58*H58/1000</f>
        <v>0.124425</v>
      </c>
      <c r="J58">
        <v>2</v>
      </c>
    </row>
    <row r="61">
      <c r="B61" t="str">
        <v>KÍCH THƯỚC CẮT KÍNH</v>
      </c>
      <c r="J61">
        <v>-72</v>
      </c>
    </row>
    <row r="62">
      <c r="B62" t="str">
        <v>Tên kính</v>
      </c>
      <c r="C62" t="str">
        <v>Rộng</v>
      </c>
      <c r="D62" t="str">
        <v>Cao</v>
      </c>
      <c r="E62" t="str">
        <v>Số lượng</v>
      </c>
      <c r="F62" t="str">
        <v>Diện tích kính (m2)</v>
      </c>
      <c r="G62" t="str">
        <v>Vị trí</v>
      </c>
      <c r="J62">
        <v>-42.5</v>
      </c>
    </row>
    <row r="63">
      <c r="B63">
        <f>C10</f>
        <v>6</v>
      </c>
      <c r="C63">
        <f>G49+H63</f>
        <v>730.5</v>
      </c>
      <c r="D63">
        <f>G50-C8+I63</f>
        <v>1241.5</v>
      </c>
      <c r="E63">
        <f>2*C11</f>
        <v>2</v>
      </c>
      <c r="F63">
        <f>E63*D63*C63/10^6</f>
        <v>1.8138315</v>
      </c>
      <c r="G63" t="str">
        <v>cánh</v>
      </c>
      <c r="H63">
        <v>-143</v>
      </c>
      <c r="I63">
        <v>-90</v>
      </c>
      <c r="J63">
        <v>-11.5</v>
      </c>
    </row>
    <row r="64">
      <c r="B64">
        <f>C10</f>
        <v>6</v>
      </c>
      <c r="C64">
        <f>G46+H64</f>
        <v>1731</v>
      </c>
      <c r="D64">
        <f>D10+I64</f>
        <v>293</v>
      </c>
      <c r="E64">
        <f>1*C11</f>
        <v>1</v>
      </c>
      <c r="F64">
        <f>E64*D64*C64/10^6</f>
        <v>0.507183</v>
      </c>
      <c r="G64" t="str">
        <v>vách</v>
      </c>
      <c r="H64">
        <v>-69</v>
      </c>
      <c r="I64">
        <v>-57</v>
      </c>
      <c r="J64">
        <v>-126</v>
      </c>
    </row>
    <row r="65">
      <c r="B65" t="str">
        <v>Pano</v>
      </c>
      <c r="C65">
        <f>C63</f>
        <v>730.5</v>
      </c>
      <c r="D65">
        <f>C8+I63</f>
        <v>810</v>
      </c>
      <c r="E65">
        <f>2*C11</f>
        <v>2</v>
      </c>
      <c r="F65">
        <f>E65*D65*C65/10^6</f>
        <v>1.18341</v>
      </c>
      <c r="G65" t="str">
        <v>cánh</v>
      </c>
      <c r="H65">
        <v>6.64</v>
      </c>
      <c r="J65">
        <v>-136</v>
      </c>
    </row>
    <row r="66">
      <c r="J66">
        <v>-121</v>
      </c>
    </row>
    <row r="67">
      <c r="J67">
        <v>-121</v>
      </c>
    </row>
    <row r="68">
      <c r="B68" t="str">
        <v>PHỤ KIỆN</v>
      </c>
      <c r="C68" t="str">
        <v>đi 2 cánh</v>
      </c>
      <c r="J68">
        <v>-38</v>
      </c>
    </row>
    <row r="69">
      <c r="B69" t="str">
        <v>Tên</v>
      </c>
      <c r="C69" t="str">
        <v>Mã</v>
      </c>
      <c r="D69" t="str">
        <v>ĐVT</v>
      </c>
      <c r="E69" t="str">
        <v>Số lượng</v>
      </c>
      <c r="J69">
        <v>-28</v>
      </c>
    </row>
    <row r="70">
      <c r="B70" t="str">
        <v>Bản lề cửa đi XF</v>
      </c>
      <c r="C70" t="str">
        <v>XF-DBL</v>
      </c>
      <c r="D70" t="str">
        <v>Chiếc</v>
      </c>
      <c r="E70">
        <f>H70*$H$5</f>
        <v>6</v>
      </c>
      <c r="H70">
        <v>6</v>
      </c>
      <c r="J70">
        <v>-62</v>
      </c>
    </row>
    <row r="71">
      <c r="B71" t="str">
        <v>Bộ khóa đa điểm cửa đi XF</v>
      </c>
      <c r="C71" t="str">
        <v>XF-DKDD</v>
      </c>
      <c r="D71" t="str">
        <v>Bộ</v>
      </c>
      <c r="E71">
        <f>H71*$H$5</f>
        <v>1</v>
      </c>
      <c r="H71">
        <v>1</v>
      </c>
      <c r="J71">
        <v>-87.5</v>
      </c>
    </row>
    <row r="72">
      <c r="B72" t="str">
        <v>Đầu khóa biên thấp cửa đi XF</v>
      </c>
      <c r="C72" t="str">
        <v>XF-DKBT</v>
      </c>
      <c r="D72" t="str">
        <v>Chiếc</v>
      </c>
      <c r="E72">
        <f>H72*$H$5</f>
        <v>2</v>
      </c>
      <c r="H72">
        <v>2</v>
      </c>
    </row>
    <row r="73">
      <c r="B73" t="str">
        <v>Vấu 2 cánh cửa đi XF</v>
      </c>
      <c r="C73" t="str">
        <v>XF-DV2C</v>
      </c>
      <c r="D73" t="str">
        <v>Chiếc</v>
      </c>
      <c r="E73">
        <f>H73*$H$5</f>
        <v>2</v>
      </c>
      <c r="H73">
        <v>2</v>
      </c>
    </row>
    <row r="74">
      <c r="B74" t="str">
        <v>Chốt cánh phụ 500 cửa đi XF</v>
      </c>
      <c r="C74" t="str">
        <v>XF-DC500</v>
      </c>
      <c r="D74" t="str">
        <v>Chiếc</v>
      </c>
      <c r="E74">
        <f>H74*$H$5</f>
        <v>1</v>
      </c>
      <c r="H74">
        <v>1</v>
      </c>
    </row>
    <row r="75">
      <c r="B75" t="str">
        <v>Chốt cánh phụ 220 cửa đi XF</v>
      </c>
      <c r="C75" t="str">
        <v>XF-DC220</v>
      </c>
      <c r="D75" t="str">
        <v>Chiếc</v>
      </c>
      <c r="E75">
        <f>H75*$H$5</f>
        <v>1</v>
      </c>
      <c r="H75">
        <v>1</v>
      </c>
    </row>
    <row r="76">
      <c r="B76" t="str">
        <v>Nắp bịt chân cánh cửa đi XF</v>
      </c>
      <c r="C76" t="str">
        <v>XF-DBC</v>
      </c>
      <c r="D76" t="str">
        <v>Cặp</v>
      </c>
      <c r="E76">
        <f>H76*$H$5</f>
        <v>2</v>
      </c>
      <c r="H76">
        <v>2</v>
      </c>
    </row>
    <row r="77">
      <c r="B77" t="str">
        <v>Nắp bịt đố động XF</v>
      </c>
      <c r="C77" t="str">
        <v>XF-BDD</v>
      </c>
      <c r="D77" t="str">
        <v>Cặp</v>
      </c>
      <c r="E77">
        <f>H77*$H$5</f>
        <v>1</v>
      </c>
      <c r="H77">
        <v>1</v>
      </c>
    </row>
    <row r="78">
      <c r="B78" t="str">
        <v>Ke khung cửa sổ XF</v>
      </c>
      <c r="C78" t="str">
        <v>XF-SKK</v>
      </c>
      <c r="D78" t="str">
        <v>Chiếc</v>
      </c>
      <c r="E78">
        <f>H78*$H$5</f>
        <v>2</v>
      </c>
      <c r="H78">
        <v>2</v>
      </c>
    </row>
    <row r="79">
      <c r="B79" t="str">
        <v>Ke cánh cửa đi XF</v>
      </c>
      <c r="C79" t="str">
        <v>XF-DKC</v>
      </c>
      <c r="D79" t="str">
        <v>Chiếc</v>
      </c>
      <c r="E79">
        <f>H79*$H$5</f>
        <v>8</v>
      </c>
      <c r="H79">
        <v>8</v>
      </c>
    </row>
    <row r="80">
      <c r="B80" t="str">
        <v>Ke tăng cứng XF</v>
      </c>
      <c r="C80" t="str">
        <v>XF-KTC</v>
      </c>
      <c r="D80" t="str">
        <v>Chiếc</v>
      </c>
      <c r="E80">
        <f>H80*$H$5</f>
        <v>8</v>
      </c>
      <c r="H80">
        <v>8</v>
      </c>
    </row>
    <row r="83">
      <c r="B83" t="str">
        <v>BẢNG TÍNH GIÁ THÀNH</v>
      </c>
    </row>
    <row r="84">
      <c r="B84" t="str">
        <v>Tên gọi</v>
      </c>
      <c r="C84" t="str">
        <v>Đơn vị tính</v>
      </c>
      <c r="D84" t="str">
        <v>Số lượng</v>
      </c>
      <c r="E84" t="str">
        <v>Đơn giá</v>
      </c>
      <c r="F84" t="str">
        <v>Thành tiền</v>
      </c>
    </row>
    <row r="85">
      <c r="B85" t="str">
        <v>Nhôm (VNĐ)</v>
      </c>
      <c r="C85" t="str">
        <v>Kg</v>
      </c>
      <c r="D85">
        <f>SUM(I46:I58)+F65*H65</f>
        <v>37.5260669</v>
      </c>
      <c r="E85">
        <f>C12</f>
        <v>98000</v>
      </c>
      <c r="F85">
        <f>E85*D85</f>
        <v>3677554.5561999995</v>
      </c>
    </row>
    <row r="86">
      <c r="B86" t="str">
        <v>Kính (VNĐ)</v>
      </c>
      <c r="C86" t="str">
        <v>m2</v>
      </c>
      <c r="D86">
        <f>SUM(F63:F64)</f>
        <v>2.3210145</v>
      </c>
      <c r="E86">
        <f>C13</f>
        <v>245000</v>
      </c>
      <c r="F86">
        <f>E86*D86</f>
        <v>568648.5525</v>
      </c>
    </row>
    <row r="87">
      <c r="B87" t="str">
        <v>Phụ Kiện (tự nhập) (VNĐ)</v>
      </c>
    </row>
    <row r="88">
      <c r="B88" t="str">
        <v>Vật Tư Phụ (tự nhập) (VNĐ)</v>
      </c>
    </row>
    <row r="89">
      <c r="B89" t="str">
        <v>Công Sản Xuất + Lắp Đặt (VNĐ)</v>
      </c>
    </row>
    <row r="90">
      <c r="B90" t="str">
        <v>Tổng (chưa tính hao hụt nhôm)</v>
      </c>
      <c r="F90">
        <f>SUM(F85:F89)</f>
        <v>4246203.1087</v>
      </c>
    </row>
  </sheetData>
  <mergeCells count="2">
    <mergeCell ref="B44:G44"/>
    <mergeCell ref="B2:G2"/>
  </mergeCells>
  <pageMargins left="0.7" right="0.7" top="0.75" bottom="0.75" header="0.3" footer="0.3"/>
  <ignoredErrors>
    <ignoredError numberStoredAsText="1" sqref="A1:J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 rightToLeft="0"/>
  </sheetViews>
  <sheetData>
    <row r="1">
      <c r="A1" t="str">
        <v>Bảng 1</v>
      </c>
      <c r="B1" t="str">
        <v>Bảng 2</v>
      </c>
      <c r="C1" t="str">
        <v>Bảng 3</v>
      </c>
      <c r="D1" t="str">
        <v>Bảng 4</v>
      </c>
      <c r="E1" t="str">
        <v>Bảng 5</v>
      </c>
    </row>
    <row r="2">
      <c r="A2" t="str">
        <v>B1</v>
      </c>
      <c r="B2" t="str">
        <v>B44</v>
      </c>
      <c r="C2" t="str">
        <v>B61</v>
      </c>
      <c r="D2" t="str">
        <v>B68</v>
      </c>
      <c r="E2" t="str">
        <v>B83</v>
      </c>
    </row>
    <row r="3">
      <c r="A3" t="str">
        <v>C13</v>
      </c>
      <c r="B3" t="str">
        <v>G58</v>
      </c>
      <c r="C3" t="str">
        <v>G65</v>
      </c>
      <c r="D3" t="str">
        <v>E80</v>
      </c>
      <c r="E3" t="str">
        <v>F90</v>
      </c>
    </row>
    <row r="4">
      <c r="A4">
        <v>0</v>
      </c>
      <c r="B4">
        <v>1</v>
      </c>
      <c r="C4">
        <v>1</v>
      </c>
      <c r="D4">
        <v>0</v>
      </c>
      <c r="E4">
        <v>1</v>
      </c>
    </row>
    <row r="5">
      <c r="B5" t="str">
        <v>Ảnh</v>
      </c>
      <c r="C5" t="str">
        <v>Tổng</v>
      </c>
    </row>
    <row r="6">
      <c r="A6" t="str">
        <v>cell bắt đầu ảnh</v>
      </c>
      <c r="B6" t="str">
        <v>D3</v>
      </c>
      <c r="C6" t="str">
        <v>F90</v>
      </c>
    </row>
    <row r="7">
      <c r="A7" t="str">
        <v>cell kết thúc ảnh</v>
      </c>
      <c r="B7" t="str">
        <v>F9</v>
      </c>
    </row>
    <row r="8">
      <c r="A8" t="str">
        <v>canh trái</v>
      </c>
      <c r="B8">
        <v>0.9</v>
      </c>
    </row>
    <row r="9">
      <c r="A9" t="str">
        <v>canh trên</v>
      </c>
      <c r="B9">
        <v>0</v>
      </c>
    </row>
    <row r="10">
      <c r="A10" t="str">
        <v>canh phải</v>
      </c>
      <c r="B10">
        <v>0.5</v>
      </c>
    </row>
    <row r="11">
      <c r="A11" t="str">
        <v>canh dưới</v>
      </c>
      <c r="B11">
        <v>0</v>
      </c>
    </row>
  </sheetData>
  <pageMargins left="0.7" right="0.7" top="0.75" bottom="0.75" header="0.3" footer="0.3"/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CDMQ2C1</vt:lpstr>
      <vt:lpstr>TSS1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2013-05-14T01:48:43Z</dcterms:created>
  <dcterms:modified xsi:type="dcterms:W3CDTF">2021-07-12T15:12:21Z</dcterms:modified>
  <cp:lastModifiedBy>ACER</cp:lastModifiedBy>
  <cp:lastPrinted>2014-12-05T03:23:20Z</cp:lastPrinted>
  <dc:creator>Windows User</dc:creator>
</cp:coreProperties>
</file>