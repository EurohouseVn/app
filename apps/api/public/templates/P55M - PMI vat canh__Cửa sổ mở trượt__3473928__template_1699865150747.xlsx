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  <numFmt numFmtId="167" formatCode="_-* #,##0.0\ _₫_-;\-* #,##0.0\ _₫_-;_-* &quot;-&quot;?\ _₫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workbookViewId="0" rightToLeft="0"/>
  </sheetViews>
  <sheetData>
    <row r="2">
      <c r="B2" t="str">
        <v>BẢN VẼ SẢN XUẤT L92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90000</v>
      </c>
      <c r="H4" t="str">
        <v>Cửa đi mở trượt 3 cánh +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C9</f>
        <v>1</v>
      </c>
      <c r="I5">
        <f>C12</f>
        <v>5.72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2200</v>
      </c>
      <c r="F7" t="str">
        <v>(2)-Cánh cửa sổ ngậm khung</v>
      </c>
      <c r="G7">
        <v>7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90000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(6)-Cánh cửa trượt ngậm khung</v>
      </c>
      <c r="G11">
        <v>10</v>
      </c>
    </row>
    <row r="12">
      <c r="B12" t="str">
        <v>Diện tích/bộ</v>
      </c>
      <c r="C12">
        <f>C5*C6/10^6</f>
        <v>5.72</v>
      </c>
      <c r="F12" t="str">
        <v>(7)-Khe hở kính</v>
      </c>
      <c r="G12">
        <v>9</v>
      </c>
    </row>
    <row r="13">
      <c r="B13" t="str">
        <v>Tổng diện tích</v>
      </c>
      <c r="C13">
        <f>C12*C9</f>
        <v>5.72</v>
      </c>
      <c r="E13">
        <f>C5</f>
        <v>2200</v>
      </c>
      <c r="F13" t="str">
        <v>(8)-Cao khung mở quay (tính cánh)</v>
      </c>
      <c r="G13">
        <v>37</v>
      </c>
    </row>
    <row r="14">
      <c r="D14" t="str">
        <v>(6)-Cánh cửa trượt ngậm khung</v>
      </c>
      <c r="E14">
        <v>8</v>
      </c>
      <c r="F14" t="str">
        <v>(9)-Cao khung mở quay (tính đố)</v>
      </c>
      <c r="G14">
        <v>25</v>
      </c>
    </row>
    <row r="15">
      <c r="D15" t="str">
        <v>(7)-Khe hở kính</v>
      </c>
      <c r="E15">
        <f>G12</f>
        <v>9</v>
      </c>
      <c r="F15" t="str">
        <v>(10)-Cao đố chia vách (tính cánh)</v>
      </c>
      <c r="G15">
        <v>37</v>
      </c>
    </row>
    <row r="16">
      <c r="D16" t="str">
        <v>(8)-Cao khung sổ quay (tính cánh)</v>
      </c>
      <c r="E16">
        <v>25</v>
      </c>
      <c r="F16" t="str">
        <v>(11)-Cao đố chia vách (tính đố)</v>
      </c>
      <c r="G16">
        <v>13</v>
      </c>
    </row>
    <row r="17">
      <c r="D17" t="str">
        <v>(9)-Cao khung sổ quay (tính đố)</v>
      </c>
      <c r="E17">
        <v>25</v>
      </c>
      <c r="F17" t="str">
        <v>(12)-Cao cánh cửa đi (tính kính)</v>
      </c>
      <c r="G17">
        <v>74</v>
      </c>
    </row>
    <row r="18">
      <c r="D18" t="str">
        <v>(10)-Cao đố chia vách (tính cánh)</v>
      </c>
      <c r="E18">
        <v>25</v>
      </c>
      <c r="F18" t="str">
        <v>(13)-Cao cánh cửa đi (tính đố cánh)</v>
      </c>
      <c r="G18">
        <v>74</v>
      </c>
    </row>
    <row r="19">
      <c r="D19" t="str">
        <v>(11)-Cao đố chia vách (tính đố)</v>
      </c>
      <c r="E19">
        <v>25</v>
      </c>
      <c r="F19" t="str">
        <v>(14)-Cao đố cánh cửa đi</v>
      </c>
      <c r="G19">
        <v>54</v>
      </c>
    </row>
    <row r="20">
      <c r="D20" t="str">
        <v>(12)-Cao cánh cửa đi (tính kính)</v>
      </c>
      <c r="E20">
        <v>70</v>
      </c>
      <c r="F20" t="str">
        <v>(15)-Cao cánh cửa sổ (tính kính)</v>
      </c>
      <c r="G20">
        <v>60</v>
      </c>
    </row>
    <row r="21">
      <c r="D21" t="str">
        <v>(16)-Cao nẹp (tính nẹp vách)</v>
      </c>
      <c r="E21">
        <v>15</v>
      </c>
      <c r="F21" t="str">
        <v>(16)-Cao nẹp (tính nẹp vách)</v>
      </c>
      <c r="G21">
        <v>19</v>
      </c>
    </row>
    <row r="22">
      <c r="D22" t="str">
        <v>(17)-Cao khung cửa trượt</v>
      </c>
      <c r="E22">
        <v>40</v>
      </c>
      <c r="F22" t="str">
        <v>(17)-Cao khung cửa trượt</v>
      </c>
      <c r="G22">
        <v>45</v>
      </c>
    </row>
    <row r="23">
      <c r="D23" t="str">
        <v>(18)-Cao cánh cửa trượt (tính cánh)</v>
      </c>
      <c r="E23">
        <v>71</v>
      </c>
      <c r="F23" t="str">
        <v>(18)-Cao cánh cửa trượt (tính cánh)</v>
      </c>
      <c r="G23">
        <v>69</v>
      </c>
    </row>
    <row r="24">
      <c r="D24" t="str">
        <v>(19)-Cao cánh cửa trượt (tính kính)</v>
      </c>
      <c r="E24">
        <v>56</v>
      </c>
      <c r="F24" t="str">
        <v>(19)-Cao cánh cửa trượt (tính kính)</v>
      </c>
      <c r="G24">
        <v>55</v>
      </c>
    </row>
    <row r="25">
      <c r="D25" t="str">
        <v>(20)-Chiều dày hèm đối đầu cửa trượt</v>
      </c>
      <c r="E25">
        <v>2</v>
      </c>
      <c r="F25" t="str">
        <v>(20)-Chiều dày hèm đối đầu cửa trượt</v>
      </c>
      <c r="G25">
        <v>2</v>
      </c>
    </row>
    <row r="26">
      <c r="D26" t="str">
        <v>(21)-Chiều dày thanh nối khung</v>
      </c>
      <c r="E26">
        <v>2</v>
      </c>
      <c r="F26" t="str">
        <v>(21)-Chiều dày thanh nối khung</v>
      </c>
      <c r="G26">
        <v>2</v>
      </c>
    </row>
    <row r="27">
      <c r="D27" t="str">
        <v>Khung cửa mở quay (kg/m)</v>
      </c>
      <c r="E27">
        <v>1.332</v>
      </c>
      <c r="F27" t="str">
        <v>Khung cửa mở quay (kg/m)</v>
      </c>
      <c r="G27">
        <v>0.86</v>
      </c>
      <c r="H27">
        <v>1.322</v>
      </c>
    </row>
    <row r="28">
      <c r="D28" t="str">
        <v>Đố chia khung (kg/m)</v>
      </c>
      <c r="E28">
        <v>1.332</v>
      </c>
      <c r="F28" t="str">
        <v>Đố chia khung (kg/m)</v>
      </c>
      <c r="G28">
        <v>0.906</v>
      </c>
      <c r="H28">
        <v>26</v>
      </c>
    </row>
    <row r="29">
      <c r="D29" t="str">
        <v>Cánh cửa sổ quay (kg/m)</v>
      </c>
      <c r="E29">
        <v>1.001</v>
      </c>
      <c r="F29" t="str">
        <v>Cánh cửa sổ quay (kg/m)</v>
      </c>
      <c r="G29">
        <v>0.947</v>
      </c>
    </row>
    <row r="30">
      <c r="D30" t="str">
        <v>Cánh đi mở quay (kg/m)</v>
      </c>
      <c r="E30">
        <v>1.15</v>
      </c>
      <c r="F30" t="str">
        <v>Cánh đi mở quay (kg/m)</v>
      </c>
      <c r="G30">
        <v>1.038</v>
      </c>
    </row>
    <row r="31">
      <c r="D31" t="str">
        <v>Đố cánh cửa đi (kg/m)</v>
      </c>
      <c r="E31">
        <v>0.934</v>
      </c>
      <c r="F31" t="str">
        <v>Đố cánh cửa đi (kg/m)</v>
      </c>
      <c r="G31">
        <v>1.056</v>
      </c>
    </row>
    <row r="32">
      <c r="D32" t="str">
        <v>Đố động (kg/m)</v>
      </c>
      <c r="E32">
        <v>0.893</v>
      </c>
      <c r="F32" t="str">
        <v>Đố động (kg/m)</v>
      </c>
      <c r="G32">
        <v>0.683</v>
      </c>
    </row>
    <row r="33">
      <c r="D33" t="str">
        <v>Ốp chân cánh (kg/m)</v>
      </c>
      <c r="E33">
        <v>0.438</v>
      </c>
      <c r="F33" t="str">
        <v>Ốp đáy (kg/m)</v>
      </c>
      <c r="G33">
        <v>0.214</v>
      </c>
    </row>
    <row r="34">
      <c r="D34" t="str">
        <v>Nẹp vách (kg/m)</v>
      </c>
      <c r="E34">
        <v>0.197</v>
      </c>
      <c r="F34" t="str">
        <v>Nẹp vách (kg/m)</v>
      </c>
      <c r="G34">
        <v>0.214</v>
      </c>
    </row>
    <row r="35">
      <c r="D35" t="str">
        <v>Nối khung (kg/m)</v>
      </c>
      <c r="E35">
        <v>0</v>
      </c>
      <c r="F35" t="str">
        <v>Nối khung (kg/m)</v>
      </c>
      <c r="G35">
        <v>0.342</v>
      </c>
    </row>
    <row r="36">
      <c r="D36" t="str">
        <v>Khung cửa trượt (kg/m)</v>
      </c>
      <c r="E36">
        <v>1.297</v>
      </c>
      <c r="F36" t="str">
        <v>Khung cửa trượt (kg/m)</v>
      </c>
      <c r="G36">
        <v>1.131</v>
      </c>
    </row>
    <row r="37">
      <c r="D37" t="str">
        <v>Cánh cửa trượt (kg/m)</v>
      </c>
      <c r="E37">
        <v>1.033</v>
      </c>
      <c r="F37" t="str">
        <v>Cánh cửa trượt (kg/m)</v>
      </c>
      <c r="G37">
        <v>0.79</v>
      </c>
    </row>
    <row r="38">
      <c r="D38" t="str">
        <v>Móc cánh cửa trượt (kg/m)</v>
      </c>
      <c r="E38">
        <v>0.407</v>
      </c>
      <c r="F38" t="str">
        <v>Móc cánh cửa trượt (kg/m)</v>
      </c>
      <c r="G38">
        <v>0.34</v>
      </c>
    </row>
    <row r="39">
      <c r="D39" t="str">
        <v>Hèm đối đầu (kg/m)</v>
      </c>
      <c r="E39">
        <v>0.268</v>
      </c>
      <c r="F39" t="str">
        <v>Hèm đối đầu (kg/m)</v>
      </c>
      <c r="G39">
        <v>0.268</v>
      </c>
    </row>
    <row r="40">
      <c r="D40" t="str">
        <v>(22)-Tính đố động= cánh trừ</v>
      </c>
      <c r="E40">
        <v>30</v>
      </c>
      <c r="F40" t="str">
        <v>(22)-Tính đố động= cánh trừ</v>
      </c>
      <c r="G40">
        <v>29</v>
      </c>
    </row>
    <row r="41">
      <c r="D41" t="str">
        <v>(23)-Cửa trượt ngậm thêm khung</v>
      </c>
      <c r="E41">
        <v>0</v>
      </c>
      <c r="F41" t="str">
        <v>(23)-Cửa trượt ngậm thêm khung</v>
      </c>
      <c r="G41">
        <v>0</v>
      </c>
    </row>
    <row r="42">
      <c r="D42" t="str">
        <v>(24)-Cao khung đi quay (tính cánh)</v>
      </c>
      <c r="E42">
        <v>25</v>
      </c>
      <c r="F42" t="str">
        <v>(24)-Tính hèm chân= cánh trừ</v>
      </c>
      <c r="G42">
        <v>19</v>
      </c>
      <c r="H42">
        <f>E17</f>
        <v>25</v>
      </c>
      <c r="I42">
        <f>E27</f>
        <v>1.332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lùa</v>
      </c>
      <c r="C46" t="str">
        <v>Ngang</v>
      </c>
      <c r="D46" t="str">
        <v>L92A0114</v>
      </c>
      <c r="E46" t="str">
        <v>45-45</v>
      </c>
      <c r="F46">
        <f>$C$9*J46</f>
        <v>2</v>
      </c>
      <c r="G46">
        <f>C5</f>
        <v>2200</v>
      </c>
      <c r="H46">
        <f>$E$36</f>
        <v>1.297</v>
      </c>
      <c r="I46">
        <f>F46*G46*H46/1000</f>
        <v>5.706799999999999</v>
      </c>
      <c r="J46">
        <v>2</v>
      </c>
    </row>
    <row r="47">
      <c r="B47" t="str">
        <v>Khung bao cửa lùa</v>
      </c>
      <c r="C47" t="str">
        <v>Đứng</v>
      </c>
      <c r="D47" t="str">
        <v>L92A0114</v>
      </c>
      <c r="E47" t="str">
        <v>45-45</v>
      </c>
      <c r="F47">
        <f>$C$9*J47</f>
        <v>2</v>
      </c>
      <c r="G47">
        <f>C7</f>
        <v>2200</v>
      </c>
      <c r="H47">
        <f>$E$36</f>
        <v>1.297</v>
      </c>
      <c r="I47">
        <f>F47*G47*H47/1000</f>
        <v>5.706799999999999</v>
      </c>
      <c r="J47">
        <v>2</v>
      </c>
    </row>
    <row r="48">
      <c r="B48" t="str">
        <v>Thanh ray</v>
      </c>
      <c r="C48" t="str">
        <v>Ngang</v>
      </c>
      <c r="D48" t="str">
        <v>L100F1012</v>
      </c>
      <c r="E48" t="str">
        <v>90-90</v>
      </c>
      <c r="F48">
        <f>$C$9*J48</f>
        <v>2</v>
      </c>
      <c r="G48">
        <f>G46-27*2</f>
        <v>2146</v>
      </c>
      <c r="H48">
        <v>0.135</v>
      </c>
      <c r="I48">
        <f>F48*G48*H48/1000</f>
        <v>0.57942</v>
      </c>
      <c r="J48">
        <v>2</v>
      </c>
    </row>
    <row r="49">
      <c r="B49" t="str">
        <v>Dẫn hướng trên</v>
      </c>
      <c r="C49" t="str">
        <v>Ngang</v>
      </c>
      <c r="D49" t="str">
        <v>L100F8013</v>
      </c>
      <c r="E49" t="str">
        <v>90-90</v>
      </c>
      <c r="F49">
        <f>$C$9*J49</f>
        <v>2</v>
      </c>
      <c r="G49">
        <f>G48</f>
        <v>2146</v>
      </c>
      <c r="H49">
        <v>0.225</v>
      </c>
      <c r="I49">
        <f>F49*G49*H49/1000</f>
        <v>0.9657</v>
      </c>
      <c r="J49">
        <v>2</v>
      </c>
    </row>
    <row r="50">
      <c r="B50" t="str">
        <v>Hèm khóa</v>
      </c>
      <c r="C50" t="str">
        <v>Đứng</v>
      </c>
      <c r="D50" t="str">
        <v>L100F9012</v>
      </c>
      <c r="E50" t="str">
        <v>90-90</v>
      </c>
      <c r="F50">
        <f>$C$9*J50</f>
        <v>2</v>
      </c>
      <c r="G50">
        <f>G47-27-27-20</f>
        <v>2126</v>
      </c>
      <c r="H50">
        <v>0.186</v>
      </c>
      <c r="I50">
        <f>F50*G50*H50/1000</f>
        <v>0.7908719999999999</v>
      </c>
      <c r="J50">
        <v>2</v>
      </c>
    </row>
    <row r="51">
      <c r="B51" t="str">
        <v>Ốp khung đứng</v>
      </c>
      <c r="C51" t="str">
        <v>Đứng</v>
      </c>
      <c r="D51" t="str">
        <v>L92A0512</v>
      </c>
      <c r="E51" t="str">
        <v>90-90</v>
      </c>
      <c r="F51">
        <f>$C$9*J51</f>
        <v>2</v>
      </c>
      <c r="G51">
        <f>$G$47-27*2</f>
        <v>2146</v>
      </c>
      <c r="H51">
        <v>0.408</v>
      </c>
      <c r="I51">
        <f>F51*G51*H51/1000</f>
        <v>1.751136</v>
      </c>
      <c r="J51">
        <v>2</v>
      </c>
    </row>
    <row r="52">
      <c r="B52" t="str">
        <v>Cánh cửa lùa</v>
      </c>
      <c r="C52" t="str">
        <v>Ngang</v>
      </c>
      <c r="D52" t="str">
        <v>L92A0314</v>
      </c>
      <c r="E52" t="str">
        <v>45-45</v>
      </c>
      <c r="F52">
        <f>$C$9*J52</f>
        <v>4</v>
      </c>
      <c r="G52">
        <f>(G46-E22*2+E14*2+E41*2+E23*2)/4</f>
        <v>569.5</v>
      </c>
      <c r="H52">
        <f>$E$37</f>
        <v>1.033</v>
      </c>
      <c r="I52">
        <f>F52*G52*H52/1000</f>
        <v>2.353174</v>
      </c>
      <c r="J52">
        <v>4</v>
      </c>
    </row>
    <row r="53">
      <c r="B53" t="str">
        <v>Cánh cửa lùa</v>
      </c>
      <c r="C53" t="str">
        <v>Ngang</v>
      </c>
      <c r="D53" t="str">
        <v>L92A0314</v>
      </c>
      <c r="E53" t="str">
        <v>45-45</v>
      </c>
      <c r="F53">
        <f>$C$9*J53</f>
        <v>2</v>
      </c>
      <c r="G53">
        <f>G52*2</f>
        <v>1139</v>
      </c>
      <c r="H53">
        <f>$E$37</f>
        <v>1.033</v>
      </c>
      <c r="I53">
        <f>F53*G53*H53/1000</f>
        <v>2.353174</v>
      </c>
      <c r="J53">
        <v>2</v>
      </c>
    </row>
    <row r="54">
      <c r="B54" t="str">
        <v>Cánh cửa lùa</v>
      </c>
      <c r="C54" t="str">
        <v>Đứng</v>
      </c>
      <c r="D54" t="str">
        <v>L92A0314</v>
      </c>
      <c r="E54" t="str">
        <v>45-45</v>
      </c>
      <c r="F54">
        <f>$C$9*J54</f>
        <v>6</v>
      </c>
      <c r="G54">
        <f>G47-E22*2+3+E14</f>
        <v>2131</v>
      </c>
      <c r="H54">
        <f>$E$37</f>
        <v>1.033</v>
      </c>
      <c r="I54">
        <f>F54*G54*H54/1000</f>
        <v>13.207937999999999</v>
      </c>
      <c r="J54">
        <v>6</v>
      </c>
    </row>
    <row r="55">
      <c r="B55" t="str">
        <v>Ốp móc cửa lùa</v>
      </c>
      <c r="C55" t="str">
        <v>Đứng</v>
      </c>
      <c r="D55" t="str">
        <v>L92A0413</v>
      </c>
      <c r="E55" t="str">
        <v>90-90</v>
      </c>
      <c r="F55">
        <f>$C$9*J55</f>
        <v>4</v>
      </c>
      <c r="G55">
        <f>G54</f>
        <v>2131</v>
      </c>
      <c r="H55">
        <f>$E$38</f>
        <v>0.407</v>
      </c>
      <c r="I55">
        <f>F55*G55*H55/1000</f>
        <v>3.4692679999999996</v>
      </c>
      <c r="J55">
        <v>4</v>
      </c>
    </row>
    <row r="56">
      <c r="B56" t="str">
        <v>Nắp nhựa</v>
      </c>
      <c r="C56" t="str">
        <v>Đứng</v>
      </c>
      <c r="D56" t="str">
        <v>L100F1109</v>
      </c>
      <c r="E56" t="str">
        <v>90-90</v>
      </c>
      <c r="F56">
        <f>$C$9*J56</f>
        <v>4</v>
      </c>
      <c r="G56">
        <f>G55</f>
        <v>2131</v>
      </c>
      <c r="H56">
        <v>0.074</v>
      </c>
      <c r="I56">
        <f>F56*G56*H56/1000</f>
        <v>0.630776</v>
      </c>
      <c r="J56">
        <v>4</v>
      </c>
    </row>
    <row r="57">
      <c r="B57" t="str">
        <v>Nắp nhựa</v>
      </c>
      <c r="C57" t="str">
        <v>Đứng</v>
      </c>
      <c r="D57" t="str">
        <v>L100F1109</v>
      </c>
      <c r="E57" t="str">
        <v>90-90</v>
      </c>
      <c r="F57">
        <f>$C$9*J57</f>
        <v>2</v>
      </c>
      <c r="G57">
        <f>$G$50</f>
        <v>2126</v>
      </c>
      <c r="H57">
        <v>0.074</v>
      </c>
      <c r="I57">
        <f>F57*G57*H57/1000</f>
        <v>0.314648</v>
      </c>
      <c r="J57">
        <v>2</v>
      </c>
    </row>
    <row r="58">
      <c r="B58" t="str">
        <v>Khung bao vách kính</v>
      </c>
      <c r="C58" t="str">
        <v>Ngang</v>
      </c>
      <c r="D58" t="str">
        <v>L92A0214</v>
      </c>
      <c r="E58" t="str">
        <v>45-45</v>
      </c>
      <c r="F58">
        <f>$C$9*J58</f>
        <v>2</v>
      </c>
      <c r="G58">
        <f>C5</f>
        <v>2200</v>
      </c>
      <c r="H58">
        <f>$H$27</f>
        <v>1.322</v>
      </c>
      <c r="I58">
        <f>F58*G58*H58/1000</f>
        <v>5.8168</v>
      </c>
      <c r="J58">
        <v>2</v>
      </c>
    </row>
    <row r="59">
      <c r="B59" t="str">
        <v>Khung bao vách kính</v>
      </c>
      <c r="C59" t="str">
        <v>Đứng</v>
      </c>
      <c r="D59" t="str">
        <v>L92A0214</v>
      </c>
      <c r="E59" t="str">
        <v>45-45</v>
      </c>
      <c r="F59">
        <f>$C$9*J59</f>
        <v>2</v>
      </c>
      <c r="G59">
        <f>C6-C7-E26</f>
        <v>398</v>
      </c>
      <c r="H59">
        <f>$H$27</f>
        <v>1.322</v>
      </c>
      <c r="I59">
        <f>F59*G59*H59/1000</f>
        <v>1.0523120000000001</v>
      </c>
      <c r="J59">
        <v>2</v>
      </c>
    </row>
    <row r="60">
      <c r="B60" t="str">
        <v>Khung bao vách kính</v>
      </c>
      <c r="C60" t="str">
        <v>Đứng</v>
      </c>
      <c r="D60" t="str">
        <v>L92A0214</v>
      </c>
      <c r="E60" t="str">
        <v>45-45</v>
      </c>
      <c r="F60">
        <f>$C$9*J60</f>
        <v>2</v>
      </c>
      <c r="G60">
        <f>G59-(E16-5)*2</f>
        <v>358</v>
      </c>
      <c r="H60">
        <f>$E$28+0.01</f>
        <v>1.342</v>
      </c>
      <c r="I60">
        <f>F60*G60*H60/1000</f>
        <v>0.9608720000000001</v>
      </c>
      <c r="J60">
        <v>2</v>
      </c>
    </row>
    <row r="61">
      <c r="B61" t="str">
        <v>Nẹp khung vách</v>
      </c>
      <c r="C61" t="str">
        <v>Ngang</v>
      </c>
      <c r="D61" t="str">
        <v>L100F1410</v>
      </c>
      <c r="E61" t="str">
        <v>90-90</v>
      </c>
      <c r="F61">
        <f>$C$9*J61</f>
        <v>8</v>
      </c>
      <c r="G61">
        <f>G52+E22-E14-E41-E23/2-E16-H28/2</f>
        <v>528</v>
      </c>
      <c r="H61">
        <f>$E$34</f>
        <v>0.197</v>
      </c>
      <c r="I61">
        <f>F61*G61*H61/1000</f>
        <v>0.8321280000000001</v>
      </c>
      <c r="J61">
        <v>8</v>
      </c>
    </row>
    <row r="62">
      <c r="B62" t="str">
        <v>Nẹp khung vách</v>
      </c>
      <c r="C62" t="str">
        <v>Ngang</v>
      </c>
      <c r="D62" t="str">
        <v>L100F1410</v>
      </c>
      <c r="E62" t="str">
        <v>90-90</v>
      </c>
      <c r="F62">
        <f>$C$9*J62</f>
        <v>4</v>
      </c>
      <c r="G62">
        <f>G58-(G52+E22-E14-E41-E23/2)*2-H28</f>
        <v>1042</v>
      </c>
      <c r="H62">
        <f>$E$34</f>
        <v>0.197</v>
      </c>
      <c r="I62">
        <f>F62*G62*H62/1000</f>
        <v>0.821096</v>
      </c>
      <c r="J62">
        <v>4</v>
      </c>
    </row>
    <row r="63">
      <c r="B63" t="str">
        <v>Nẹp khung vách</v>
      </c>
      <c r="C63" t="str">
        <v>Đứng</v>
      </c>
      <c r="D63" t="str">
        <v>L100F1410</v>
      </c>
      <c r="E63" t="str">
        <v>90-90</v>
      </c>
      <c r="F63">
        <f>$C$9*J63</f>
        <v>12</v>
      </c>
      <c r="G63">
        <f>G59-E16*2-E21*2</f>
        <v>318</v>
      </c>
      <c r="H63">
        <f>$E$34</f>
        <v>0.197</v>
      </c>
      <c r="I63">
        <f>F63*G63*H63/1000</f>
        <v>0.7517520000000001</v>
      </c>
      <c r="J63">
        <v>12</v>
      </c>
    </row>
    <row r="64">
      <c r="B64" t="str">
        <v>Khoảng cách B1=</v>
      </c>
      <c r="C64" t="str">
        <v>Mép khung</v>
      </c>
      <c r="D64" t="str">
        <v>Tính cho cánh đều nhau</v>
      </c>
      <c r="E64" t="str">
        <v>Tim đố</v>
      </c>
      <c r="F64">
        <v>0</v>
      </c>
      <c r="G64">
        <f>G52+E22-E14-E41-E23/2</f>
        <v>566</v>
      </c>
      <c r="J64">
        <v>0</v>
      </c>
    </row>
    <row r="67">
      <c r="B67" t="str">
        <v>KÍCH THƯỚC CẮT KÍNH</v>
      </c>
    </row>
    <row r="68">
      <c r="B68" t="str">
        <v>Tên kính</v>
      </c>
      <c r="C68" t="str">
        <v>Rộng</v>
      </c>
      <c r="D68" t="str">
        <v>Cao</v>
      </c>
      <c r="E68" t="str">
        <v>Số lượng</v>
      </c>
      <c r="F68" t="str">
        <v>Diện tích kính (m2)</v>
      </c>
      <c r="G68" t="str">
        <v>Vị trí</v>
      </c>
    </row>
    <row r="69">
      <c r="B69">
        <f>C8</f>
        <v>6</v>
      </c>
      <c r="C69">
        <f>G52-E24*2-E15</f>
        <v>448.5</v>
      </c>
      <c r="D69">
        <f>G54-E24*2-E15</f>
        <v>2010</v>
      </c>
      <c r="E69">
        <f>2*C9</f>
        <v>2</v>
      </c>
      <c r="F69">
        <f>E69*D69*C69/10^6</f>
        <v>1.80297</v>
      </c>
      <c r="G69" t="str">
        <v>cánh</v>
      </c>
    </row>
    <row r="70">
      <c r="B70">
        <f>C8</f>
        <v>6</v>
      </c>
      <c r="C70">
        <f>G53-E24*2-E15</f>
        <v>1018</v>
      </c>
      <c r="D70">
        <f>D69</f>
        <v>2010</v>
      </c>
      <c r="E70">
        <f>1*C9</f>
        <v>1</v>
      </c>
      <c r="F70">
        <f>E70*D70*C70/10^6</f>
        <v>2.04618</v>
      </c>
      <c r="G70" t="str">
        <v>cánh</v>
      </c>
    </row>
    <row r="71">
      <c r="B71">
        <f>C8</f>
        <v>6</v>
      </c>
      <c r="C71">
        <f>G61-E15</f>
        <v>519</v>
      </c>
      <c r="D71">
        <f>G59-E16*2-E15</f>
        <v>339</v>
      </c>
      <c r="E71">
        <f>2*C9</f>
        <v>2</v>
      </c>
      <c r="F71">
        <f>E71*D71*C71/10^6</f>
        <v>0.351882</v>
      </c>
      <c r="G71" t="str">
        <v>vách</v>
      </c>
    </row>
    <row r="72">
      <c r="B72">
        <f>C8</f>
        <v>6</v>
      </c>
      <c r="C72">
        <f>G62-E15</f>
        <v>1033</v>
      </c>
      <c r="D72">
        <f>G59-E16*2-E15</f>
        <v>339</v>
      </c>
      <c r="E72">
        <f>1*C9</f>
        <v>1</v>
      </c>
      <c r="F72">
        <f>E72*D72*C72/10^6</f>
        <v>0.350187</v>
      </c>
      <c r="G72" t="str">
        <v>vách</v>
      </c>
    </row>
    <row r="75">
      <c r="B75" t="str">
        <v>PHỤ KIỆN</v>
      </c>
      <c r="C75" t="str">
        <v>Trượt 3 cánh</v>
      </c>
    </row>
    <row r="76">
      <c r="B76" t="str">
        <v>Tên</v>
      </c>
      <c r="C76" t="str">
        <v>Mã</v>
      </c>
      <c r="D76" t="str">
        <v>ĐVT</v>
      </c>
      <c r="E76" t="str">
        <v>Số lượng</v>
      </c>
    </row>
    <row r="77">
      <c r="B77" t="str">
        <v>Con lăn cửa sổ trượt L92</v>
      </c>
      <c r="C77" t="str">
        <v>L92-TCL</v>
      </c>
      <c r="D77" t="str">
        <v>Chiếc</v>
      </c>
      <c r="E77">
        <f>H77*$H$5</f>
        <v>6</v>
      </c>
      <c r="H77">
        <v>6</v>
      </c>
    </row>
    <row r="78">
      <c r="B78" t="str">
        <v>Khóa chữ D cửa đi trượt L92</v>
      </c>
      <c r="C78" t="str">
        <v>L92-TKCD</v>
      </c>
      <c r="D78" t="str">
        <v>Bộ</v>
      </c>
      <c r="E78">
        <f>H78*$H$5</f>
        <v>1</v>
      </c>
      <c r="H78">
        <v>1</v>
      </c>
    </row>
    <row r="79">
      <c r="B79" t="str">
        <v>Chốt âm cánh phụ L92</v>
      </c>
      <c r="C79" t="str">
        <v>L92-TCA</v>
      </c>
      <c r="D79" t="str">
        <v>Bộ</v>
      </c>
      <c r="E79">
        <f>H79*$H$5</f>
        <v>1</v>
      </c>
      <c r="H79">
        <v>1</v>
      </c>
    </row>
    <row r="80">
      <c r="B80" t="str">
        <v>Chống va cửa trượt L92</v>
      </c>
      <c r="C80" t="str">
        <v>L92-TCV</v>
      </c>
      <c r="D80" t="str">
        <v>Chiếc</v>
      </c>
      <c r="E80">
        <f>H80*$H$5</f>
        <v>4</v>
      </c>
      <c r="H80">
        <v>4</v>
      </c>
    </row>
    <row r="81">
      <c r="B81" t="str">
        <v>Chống nhấc cửa trượt L92</v>
      </c>
      <c r="C81" t="str">
        <v>L92-TCN</v>
      </c>
      <c r="D81" t="str">
        <v>Chiếc</v>
      </c>
      <c r="E81">
        <f>H81*$H$5</f>
        <v>2</v>
      </c>
      <c r="H81">
        <v>2</v>
      </c>
    </row>
    <row r="82">
      <c r="B82" t="str">
        <v>Ke nhảy khung mở trượt L92</v>
      </c>
      <c r="C82" t="str">
        <v>L92-TKNK</v>
      </c>
      <c r="D82" t="str">
        <v>Chiếc</v>
      </c>
      <c r="E82">
        <f>H82*$H$5</f>
        <v>4</v>
      </c>
      <c r="H82">
        <v>4</v>
      </c>
    </row>
    <row r="83">
      <c r="B83" t="str">
        <v>ke nhảy cánh trượt L92</v>
      </c>
      <c r="C83" t="str">
        <v>L92-TKNC</v>
      </c>
      <c r="D83" t="str">
        <v>Chiếc</v>
      </c>
      <c r="E83">
        <f>H83*$H$5</f>
        <v>12</v>
      </c>
      <c r="H83">
        <v>12</v>
      </c>
    </row>
    <row r="84">
      <c r="B84" t="str">
        <v>Ke khung vách L92</v>
      </c>
      <c r="C84" t="str">
        <v>L92-KKV</v>
      </c>
      <c r="D84" t="str">
        <v>Chiếc</v>
      </c>
      <c r="E84">
        <f>H84*$H$5</f>
        <v>4</v>
      </c>
      <c r="H84">
        <v>4</v>
      </c>
    </row>
    <row r="87">
      <c r="B87" t="str">
        <v>BẢNG TÍNH GIÁ THÀNH</v>
      </c>
    </row>
    <row r="88">
      <c r="B88" t="str">
        <v>Tên gọi</v>
      </c>
      <c r="C88" t="str">
        <v>Đơn vị tính</v>
      </c>
      <c r="D88" t="str">
        <v>Số lượng</v>
      </c>
      <c r="E88" t="str">
        <v>Đơn giá</v>
      </c>
      <c r="F88" t="str">
        <v>Thành tiền</v>
      </c>
    </row>
    <row r="89">
      <c r="B89" t="str">
        <v>Nhôm (VNĐ)</v>
      </c>
      <c r="C89" t="str">
        <v>Kg</v>
      </c>
      <c r="D89">
        <f>SUM(I46:I63)</f>
        <v>48.064665999999995</v>
      </c>
      <c r="E89">
        <f>C10</f>
        <v>90000</v>
      </c>
      <c r="F89">
        <f>E89*D89</f>
        <v>4325819.9399999995</v>
      </c>
    </row>
    <row r="90">
      <c r="B90" t="str">
        <v>Kính (VNĐ)</v>
      </c>
      <c r="C90" t="str">
        <v>m2</v>
      </c>
      <c r="D90">
        <f>SUM(F69:F72)</f>
        <v>4.551219</v>
      </c>
      <c r="E90">
        <f>C11</f>
        <v>245000</v>
      </c>
      <c r="F90">
        <f>E90*D90</f>
        <v>1115048.655</v>
      </c>
    </row>
    <row r="91">
      <c r="B91" t="str">
        <v>Phụ Kiện (tự nhập) (VNĐ)</v>
      </c>
    </row>
    <row r="92">
      <c r="B92" t="str">
        <v>Vật Tư Phụ (tự nhập) (VNĐ)</v>
      </c>
    </row>
    <row r="93">
      <c r="B93" t="str">
        <v>Công Sản Xuất + Lắp Đặt (VNĐ)</v>
      </c>
    </row>
    <row r="94">
      <c r="B94" t="str">
        <v>Tổng (chưa tính hao hụt nhôm)</v>
      </c>
      <c r="F94">
        <f>SUM(F89:F93)</f>
        <v>5440868.595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B67</v>
      </c>
      <c r="D2" t="str">
        <v>B75</v>
      </c>
      <c r="E2" t="str">
        <v>B87</v>
      </c>
    </row>
    <row r="3">
      <c r="A3" t="str">
        <v>C11</v>
      </c>
      <c r="B3" t="str">
        <v>G64</v>
      </c>
      <c r="C3" t="str">
        <v>G72</v>
      </c>
      <c r="D3" t="str">
        <v>E84</v>
      </c>
      <c r="E3" t="str">
        <v>F94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F94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2023-11-13T08:03:02Z</dcterms:modified>
  <cp:lastModifiedBy>ACER</cp:lastModifiedBy>
  <cp:lastPrinted>2014-12-05T03:23:20Z</cp:lastPrinted>
  <dc:creator>Windows User</dc:creator>
</cp:coreProperties>
</file>