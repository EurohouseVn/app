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workbookViewId="0" rightToLeft="0"/>
  </sheetViews>
  <sheetData>
    <row r="2">
      <c r="B2" t="str">
        <v>BẢN VẼ SẢN XUẤT XF AD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98000</v>
      </c>
      <c r="H4" t="str">
        <v>Cửa sổ mở trượt 6 cánh 3 ray</v>
      </c>
    </row>
    <row r="5">
      <c r="B5" t="str">
        <v>Rộng Cửa (B) (mm)</v>
      </c>
      <c r="C5">
        <v>5200</v>
      </c>
      <c r="F5" t="str">
        <v>Giá kính (VNĐ/m2)</v>
      </c>
      <c r="G5">
        <v>245000</v>
      </c>
      <c r="H5">
        <f>C8</f>
        <v>1</v>
      </c>
      <c r="I5">
        <f>C11</f>
        <v>4.68</v>
      </c>
    </row>
    <row r="6">
      <c r="B6" t="str">
        <v>Cao Cửa (H) (mm)</v>
      </c>
      <c r="C6">
        <v>900</v>
      </c>
      <c r="F6" t="str">
        <v>(1)-Cánh cửa đi ngậm khung</v>
      </c>
      <c r="G6">
        <v>6</v>
      </c>
    </row>
    <row r="7">
      <c r="B7" t="str">
        <v>Loại kính</v>
      </c>
      <c r="C7">
        <v>6</v>
      </c>
      <c r="F7" t="str">
        <v>(2)-Cánh cửa sổ ngậm khung</v>
      </c>
      <c r="G7">
        <v>6</v>
      </c>
    </row>
    <row r="8">
      <c r="B8" t="str">
        <v>Số bộ</v>
      </c>
      <c r="C8">
        <v>1</v>
      </c>
      <c r="F8" t="str">
        <v>(3)-Khe hở giữa cửa đi 2 (4) cánh</v>
      </c>
      <c r="G8">
        <v>5</v>
      </c>
    </row>
    <row r="9">
      <c r="B9" t="str">
        <v>Giá nhôm (VNĐ/Kg)</v>
      </c>
      <c r="C9">
        <v>98000</v>
      </c>
      <c r="F9" t="str">
        <v>(4)-Khe hở cánh cửa đi 4 cánh</v>
      </c>
      <c r="G9">
        <v>5</v>
      </c>
    </row>
    <row r="10">
      <c r="B10" t="str">
        <v>Giá kính (VNĐ/m2)</v>
      </c>
      <c r="C10">
        <v>245000</v>
      </c>
      <c r="F10" t="str">
        <v>(5)-Khe hở giữa cửa sổ 2 cánh</v>
      </c>
      <c r="G10">
        <v>5</v>
      </c>
    </row>
    <row r="11">
      <c r="B11" t="str">
        <v>Diện tích/bộ</v>
      </c>
      <c r="C11">
        <f>C5*C6/10^6</f>
        <v>4.68</v>
      </c>
      <c r="F11" t="str">
        <v>C3328- Khung cửa đi quay (kg/m)</v>
      </c>
      <c r="G11">
        <v>1.228</v>
      </c>
      <c r="H11" t="str">
        <v>(6)-Cánh cửa trượt ngậm khung</v>
      </c>
      <c r="I11">
        <v>8.5</v>
      </c>
    </row>
    <row r="12">
      <c r="B12" t="str">
        <v>Tổng diện tích</v>
      </c>
      <c r="C12">
        <f>C11*C8</f>
        <v>4.68</v>
      </c>
      <c r="E12">
        <f>C5</f>
        <v>5200</v>
      </c>
      <c r="F12" t="str">
        <v>C3318- Khung cửa sổ quay (kg/m)</v>
      </c>
      <c r="G12">
        <v>0.849</v>
      </c>
      <c r="H12" t="str">
        <v>(7)-Khe hở kính</v>
      </c>
      <c r="I12">
        <v>8</v>
      </c>
    </row>
    <row r="13">
      <c r="F13" t="str">
        <v>C3209- Khung vách (kg/m)</v>
      </c>
      <c r="G13">
        <v>0.84</v>
      </c>
      <c r="H13" t="str">
        <v>(8)-Cao khung mở quay (tính cánh)</v>
      </c>
      <c r="I13">
        <v>31</v>
      </c>
    </row>
    <row r="14">
      <c r="F14" t="str">
        <v>C3313- Đố chia khung mở quay (kg/m)</v>
      </c>
      <c r="G14">
        <v>1.016</v>
      </c>
      <c r="H14" t="str">
        <v>(9)-Cao khung mở quay (tính đố)</v>
      </c>
      <c r="I14">
        <v>26</v>
      </c>
    </row>
    <row r="15">
      <c r="F15" t="str">
        <v>C3203- Đố chia cánh, vách (kg/m)</v>
      </c>
      <c r="G15">
        <v>1.02</v>
      </c>
      <c r="H15" t="str">
        <v>(10)-Cao đố chia vách (tính cánh)</v>
      </c>
      <c r="I15">
        <v>30</v>
      </c>
    </row>
    <row r="16">
      <c r="F16" t="str">
        <v>C3303- Cánh đi mở quay (kg/m)</v>
      </c>
      <c r="G16">
        <v>1.47</v>
      </c>
      <c r="H16" t="str">
        <v>(11)-Cao đố chia vách (tính đố)</v>
      </c>
      <c r="I16">
        <v>20</v>
      </c>
    </row>
    <row r="17">
      <c r="F17" t="str">
        <v>C3304- Cánh ngang dưới Cđi (kg/m)</v>
      </c>
      <c r="G17">
        <v>2.03</v>
      </c>
      <c r="H17" t="str">
        <v>(12)-Cao cánh cửa đi (tính kính, nẹp)</v>
      </c>
      <c r="I17" t="str">
        <v>a</v>
      </c>
    </row>
    <row r="18">
      <c r="F18" t="str">
        <v>C3323- Đố động cửa đi (kg/m)</v>
      </c>
      <c r="G18">
        <v>0.925</v>
      </c>
      <c r="H18" t="str">
        <v>(13)-Cao cánh cửa đi (tính đố cánh)</v>
      </c>
      <c r="I18" t="str">
        <v>a</v>
      </c>
    </row>
    <row r="19">
      <c r="F19" t="str">
        <v>C3202- Cánh cửa sổ quay (kg/m)</v>
      </c>
      <c r="G19">
        <v>1.106</v>
      </c>
      <c r="H19" t="str">
        <v>(14)-Cao đố cánh cửa đi</v>
      </c>
      <c r="I19" t="str">
        <v>a</v>
      </c>
    </row>
    <row r="20">
      <c r="F20" t="str">
        <v>C3033- Đố động cửa sổ (kg/m)</v>
      </c>
      <c r="G20">
        <v>0.925</v>
      </c>
      <c r="H20" t="str">
        <v>(15)-Cao cánh cửa sổ (tính kính)</v>
      </c>
      <c r="I20" t="str">
        <v>a</v>
      </c>
    </row>
    <row r="21">
      <c r="F21" t="str">
        <v>C3295- Nẹp cánh, vách (kg/m)</v>
      </c>
      <c r="G21">
        <v>0.26</v>
      </c>
      <c r="H21" t="str">
        <v>(16)-Cao nẹp (tính nẹp vách)</v>
      </c>
      <c r="I21">
        <v>19</v>
      </c>
    </row>
    <row r="22">
      <c r="F22" t="str">
        <v>C3296- Nẹp vách liền cửa (kg/m)</v>
      </c>
      <c r="G22">
        <v>0.26</v>
      </c>
      <c r="H22" t="str">
        <v>(17)-Cao khung cửa trượt</v>
      </c>
      <c r="I22">
        <v>48</v>
      </c>
    </row>
    <row r="23">
      <c r="F23" t="str">
        <v>C3329- Ốp chân cánh (kg/m)</v>
      </c>
      <c r="G23">
        <v>0.438</v>
      </c>
      <c r="H23" t="str">
        <v>(18)-Cao cánh cửa trượt (tính cánh)</v>
      </c>
      <c r="I23">
        <v>73</v>
      </c>
    </row>
    <row r="24">
      <c r="F24" t="str">
        <v>C3300- Nối khung (kg/m)</v>
      </c>
      <c r="G24">
        <v>0.363</v>
      </c>
      <c r="H24" t="str">
        <v>(19)-Cao cánh cửa trượt (tính kính)</v>
      </c>
      <c r="I24">
        <v>52</v>
      </c>
    </row>
    <row r="25">
      <c r="F25" t="str">
        <v>D1541A- Khung trên cửa trượt (kg/m)</v>
      </c>
      <c r="G25">
        <v>1.342</v>
      </c>
      <c r="H25" t="str">
        <v>(20)-Chiều dày hèm đối đầu cửa trượt</v>
      </c>
      <c r="I25">
        <v>2</v>
      </c>
    </row>
    <row r="26">
      <c r="F26" t="str">
        <v>D1942- khung dưới ray lệch 25-35 (kg/m)</v>
      </c>
      <c r="G26">
        <v>1.287</v>
      </c>
      <c r="H26" t="str">
        <v>(21)-Chiều dày thanh nối khung</v>
      </c>
      <c r="I26">
        <v>2</v>
      </c>
    </row>
    <row r="27">
      <c r="F27" t="str">
        <v>D1942A- khung dưới ray bằng 25 (kg/m)</v>
      </c>
      <c r="G27">
        <v>1.315</v>
      </c>
      <c r="H27" t="str">
        <v>XF AD- Khung cửa mở quay (kg/m)</v>
      </c>
      <c r="I27">
        <f>G13</f>
        <v>0.84</v>
      </c>
    </row>
    <row r="28">
      <c r="F28" t="str">
        <v>D1543A- Khung Đứng cửa trượt (kg/m)</v>
      </c>
      <c r="G28">
        <v>1.059</v>
      </c>
      <c r="H28" t="str">
        <v>XF AD- Đố chia khung (kg/m)</v>
      </c>
      <c r="I28">
        <f>G15</f>
        <v>1.02</v>
      </c>
    </row>
    <row r="29">
      <c r="F29" t="str">
        <v>D1544A- Cánh trên H93A cửa trượt (kg/m)</v>
      </c>
      <c r="G29">
        <v>0.929</v>
      </c>
      <c r="H29" t="str">
        <v>XF AD- Cánh cửa sổ quay (kg/m)</v>
      </c>
      <c r="I29" t="str">
        <v>a</v>
      </c>
    </row>
    <row r="30">
      <c r="F30" t="str">
        <v>D1555A- Cánh dưới H93A cửa trượt (kg/m)</v>
      </c>
      <c r="G30">
        <v>1.15</v>
      </c>
      <c r="H30" t="str">
        <v>XF AD- Cánh cửa đi (kg/m)</v>
      </c>
      <c r="I30" t="str">
        <v>a</v>
      </c>
    </row>
    <row r="31">
      <c r="F31" t="str">
        <v>D1546A- Cánh đứng H93A cửa trượt (kg/m)</v>
      </c>
      <c r="G31">
        <v>1.166</v>
      </c>
      <c r="H31" t="str">
        <v>XF AD- Đố cánh cửa đi (kg/m)</v>
      </c>
      <c r="I31" t="str">
        <v>a</v>
      </c>
    </row>
    <row r="32">
      <c r="F32" t="str">
        <v>D1547A- Cánh móc H93A cửa trượt (kg/m)</v>
      </c>
      <c r="G32">
        <v>1.005</v>
      </c>
      <c r="H32" t="str">
        <v>XF AD- Đố động (kg/m)</v>
      </c>
      <c r="I32" t="str">
        <v>a</v>
      </c>
    </row>
    <row r="33">
      <c r="F33" t="str">
        <v>D1548A- Hèm đối đầu (kg/m)</v>
      </c>
      <c r="G33">
        <v>0.49</v>
      </c>
      <c r="H33" t="str">
        <v>XF AD- Ốp đáy (kg/m)</v>
      </c>
      <c r="I33" t="str">
        <v>a</v>
      </c>
    </row>
    <row r="34">
      <c r="F34" t="str">
        <v>D1559A- Khung vách kính trượt (kg/m)</v>
      </c>
      <c r="G34">
        <v>1.074</v>
      </c>
      <c r="H34" t="str">
        <v>XF AD- Nẹp vách (kg/m)</v>
      </c>
      <c r="I34">
        <f>G21</f>
        <v>0.26</v>
      </c>
    </row>
    <row r="35">
      <c r="F35" t="str">
        <v>D1549A- Ốp vách (kg/m)</v>
      </c>
      <c r="G35">
        <v>0.714</v>
      </c>
      <c r="H35" t="str">
        <v>XF AD- Nối khung (kg/m)</v>
      </c>
      <c r="I35">
        <f>G24</f>
        <v>0.363</v>
      </c>
    </row>
    <row r="36">
      <c r="F36" t="str">
        <v>D2618- Đố T vách kính trượt (kg/m)</v>
      </c>
      <c r="G36">
        <v>1.551</v>
      </c>
    </row>
    <row r="37">
      <c r="F37" t="str">
        <v>C101- Sập vách cửa trượt (kg/m)</v>
      </c>
      <c r="G37">
        <v>0.132</v>
      </c>
    </row>
    <row r="38">
      <c r="F38" t="str">
        <v>XF- Khung cửa trượt 55 (kg/m)</v>
      </c>
      <c r="G38">
        <v>1.274</v>
      </c>
      <c r="H38" t="str">
        <v>XF AD- Khung cửa trượt (kg/m)</v>
      </c>
      <c r="I38">
        <f>G38</f>
        <v>1.274</v>
      </c>
    </row>
    <row r="39">
      <c r="F39" t="str">
        <v>XF- Cánh cửa trượt 55 (kg/m)</v>
      </c>
      <c r="G39">
        <v>0.91</v>
      </c>
      <c r="H39" t="str">
        <v>XF AD- Cánh cửa trượt (kg/m)</v>
      </c>
      <c r="I39">
        <f>G39</f>
        <v>0.91</v>
      </c>
    </row>
    <row r="40">
      <c r="F40" t="str">
        <v>XF- Móc cánh cửa trượt 55 (kg/m)</v>
      </c>
      <c r="G40">
        <v>0.412</v>
      </c>
      <c r="H40" t="str">
        <v>XF AD- Móc cánh cửa trượt (kg/m)</v>
      </c>
      <c r="I40">
        <f>G40</f>
        <v>0.412</v>
      </c>
    </row>
    <row r="41">
      <c r="F41" t="str">
        <v>XF- Hèm đối đầu trượt 55 (kg/m)</v>
      </c>
      <c r="G41">
        <v>0.269</v>
      </c>
      <c r="H41" t="str">
        <v>XF AD- Hèm đối đầu (kg/m)</v>
      </c>
      <c r="I41">
        <f>G41</f>
        <v>0.269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lùa</v>
      </c>
      <c r="C46" t="str">
        <v>Ngang</v>
      </c>
      <c r="D46" t="str">
        <v>VNS55A01</v>
      </c>
      <c r="E46" t="str">
        <v>45-45</v>
      </c>
      <c r="F46">
        <f>$C$8*J46</f>
        <v>2</v>
      </c>
      <c r="G46">
        <f>C5</f>
        <v>5200</v>
      </c>
      <c r="H46">
        <f>$I$38</f>
        <v>1.274</v>
      </c>
      <c r="I46">
        <f>F46*G46*H46/1000</f>
        <v>13.249600000000001</v>
      </c>
      <c r="J46">
        <v>2</v>
      </c>
    </row>
    <row r="47">
      <c r="B47" t="str">
        <v>Khung cửa lùa</v>
      </c>
      <c r="C47" t="str">
        <v>Đứng</v>
      </c>
      <c r="D47" t="str">
        <v>VNS55A01</v>
      </c>
      <c r="E47" t="str">
        <v>45-45</v>
      </c>
      <c r="F47">
        <f>$C$8*J47</f>
        <v>2</v>
      </c>
      <c r="G47">
        <f>C6</f>
        <v>900</v>
      </c>
      <c r="H47">
        <f>$I$38</f>
        <v>1.274</v>
      </c>
      <c r="I47">
        <f>F47*G47*H47/1000</f>
        <v>2.2931999999999997</v>
      </c>
      <c r="J47">
        <v>2</v>
      </c>
    </row>
    <row r="48">
      <c r="B48" t="str">
        <v>Khung mở rộng</v>
      </c>
      <c r="C48" t="str">
        <v>Ngang</v>
      </c>
      <c r="D48" t="str">
        <v>VNS55A02</v>
      </c>
      <c r="E48" t="str">
        <v>45-45</v>
      </c>
      <c r="F48">
        <f>$C$8*J48</f>
        <v>2</v>
      </c>
      <c r="G48">
        <f>G46</f>
        <v>5200</v>
      </c>
      <c r="H48">
        <v>0.755</v>
      </c>
      <c r="I48">
        <f>F48*G48*H48/1000</f>
        <v>7.852</v>
      </c>
      <c r="J48">
        <v>2</v>
      </c>
    </row>
    <row r="49">
      <c r="B49" t="str">
        <v>Khung mở rộng</v>
      </c>
      <c r="C49" t="str">
        <v>Đứng</v>
      </c>
      <c r="D49" t="str">
        <v>VNS55A02</v>
      </c>
      <c r="E49" t="str">
        <v>45-45</v>
      </c>
      <c r="F49">
        <f>$C$8*J49</f>
        <v>2</v>
      </c>
      <c r="G49">
        <f>G47</f>
        <v>900</v>
      </c>
      <c r="H49">
        <v>0.755</v>
      </c>
      <c r="I49">
        <f>F49*G49*H49/1000</f>
        <v>1.359</v>
      </c>
      <c r="J49">
        <v>2</v>
      </c>
    </row>
    <row r="50">
      <c r="B50" t="str">
        <v>Nắp rãnh che mưa</v>
      </c>
      <c r="C50" t="str">
        <v>Ngang</v>
      </c>
      <c r="D50" t="str">
        <v>VNS55A06</v>
      </c>
      <c r="E50" t="str">
        <v>90-90</v>
      </c>
      <c r="F50">
        <f>$C$8*J50</f>
        <v>1</v>
      </c>
      <c r="G50">
        <f>G46</f>
        <v>5200</v>
      </c>
      <c r="H50">
        <v>0.042</v>
      </c>
      <c r="I50">
        <f>F50*G50*H50/1000</f>
        <v>0.2184</v>
      </c>
      <c r="J50">
        <v>1</v>
      </c>
    </row>
    <row r="51">
      <c r="B51" t="str">
        <v>Nẹp che mưa</v>
      </c>
      <c r="C51" t="str">
        <v>Ngang</v>
      </c>
      <c r="D51" t="str">
        <v>VNS55A11</v>
      </c>
      <c r="E51" t="str">
        <v>90-90</v>
      </c>
      <c r="F51">
        <f>$C$8*J51</f>
        <v>1</v>
      </c>
      <c r="G51">
        <f>G46</f>
        <v>5200</v>
      </c>
      <c r="H51">
        <v>0.162</v>
      </c>
      <c r="I51">
        <f>F51*G51*H51/1000</f>
        <v>0.8423999999999999</v>
      </c>
      <c r="J51">
        <v>1</v>
      </c>
    </row>
    <row r="52">
      <c r="B52" t="str">
        <v>Ray inox</v>
      </c>
      <c r="C52" t="str">
        <v>Ngang</v>
      </c>
      <c r="D52" t="str">
        <v>RIN</v>
      </c>
      <c r="E52" t="str">
        <v>90-90</v>
      </c>
      <c r="F52">
        <f>$C$8*J52</f>
        <v>3</v>
      </c>
      <c r="G52">
        <f>G46</f>
        <v>5200</v>
      </c>
      <c r="H52">
        <v>0.1</v>
      </c>
      <c r="I52">
        <f>F52*G52*H52/1000</f>
        <v>1.56</v>
      </c>
      <c r="J52">
        <v>3</v>
      </c>
    </row>
    <row r="53">
      <c r="B53" t="str">
        <v>Cánh cửa sổ lùa</v>
      </c>
      <c r="C53" t="str">
        <v>Ngang</v>
      </c>
      <c r="D53" t="str">
        <v>VNS55A03</v>
      </c>
      <c r="E53" t="str">
        <v>45-45</v>
      </c>
      <c r="F53">
        <f>$C$8*J53</f>
        <v>12</v>
      </c>
      <c r="G53">
        <f>(G46-I22*2+I11*2+I23*4-I25)/6</f>
        <v>901.8333333333334</v>
      </c>
      <c r="H53">
        <f>$I$39</f>
        <v>0.91</v>
      </c>
      <c r="I53">
        <f>F53*G53*H53/1000</f>
        <v>9.84802</v>
      </c>
      <c r="J53">
        <v>12</v>
      </c>
    </row>
    <row r="54">
      <c r="B54" t="str">
        <v>Cánh cửa sổ lùa</v>
      </c>
      <c r="C54" t="str">
        <v>Đứng</v>
      </c>
      <c r="D54" t="str">
        <v>VNS55A03</v>
      </c>
      <c r="E54" t="str">
        <v>45-45</v>
      </c>
      <c r="F54">
        <f>$C$8*J54</f>
        <v>12</v>
      </c>
      <c r="G54">
        <f>G47-I22*2+I11*2</f>
        <v>821</v>
      </c>
      <c r="H54">
        <f>$I$39</f>
        <v>0.91</v>
      </c>
      <c r="I54">
        <f>F54*G54*H54/1000</f>
        <v>8.96532</v>
      </c>
      <c r="J54">
        <v>12</v>
      </c>
    </row>
    <row r="55">
      <c r="B55" t="str">
        <v>Đối đầu 4 cánh</v>
      </c>
      <c r="C55" t="str">
        <v>Đứng</v>
      </c>
      <c r="D55" t="str">
        <v>VNS55A16</v>
      </c>
      <c r="E55" t="str">
        <v>90-90</v>
      </c>
      <c r="F55">
        <f>$C$8*J55</f>
        <v>1</v>
      </c>
      <c r="G55">
        <f>G54</f>
        <v>821</v>
      </c>
      <c r="H55">
        <f>$I$41</f>
        <v>0.269</v>
      </c>
      <c r="I55">
        <f>F55*G55*H55/1000</f>
        <v>0.22084900000000002</v>
      </c>
      <c r="J55">
        <v>1</v>
      </c>
    </row>
    <row r="56">
      <c r="B56" t="str">
        <v>Nẹp kính cửa lùa</v>
      </c>
      <c r="C56" t="str">
        <v>Ngang</v>
      </c>
      <c r="D56" t="str">
        <v>VNS55A05</v>
      </c>
      <c r="E56" t="str">
        <v>90-90</v>
      </c>
      <c r="F56">
        <f>$C$8*J56</f>
        <v>12</v>
      </c>
      <c r="G56">
        <f>G53-52*2</f>
        <v>797.8333333333334</v>
      </c>
      <c r="H56">
        <v>0.242</v>
      </c>
      <c r="I56">
        <f>F56*G56*H56/1000</f>
        <v>2.3169079999999997</v>
      </c>
      <c r="J56">
        <v>12</v>
      </c>
    </row>
    <row r="57">
      <c r="B57" t="str">
        <v>Nẹp kính cửa lùa</v>
      </c>
      <c r="C57" t="str">
        <v>Đứng</v>
      </c>
      <c r="D57" t="str">
        <v>VNS55A05</v>
      </c>
      <c r="E57" t="str">
        <v>90-90</v>
      </c>
      <c r="F57">
        <f>$C$8*J57</f>
        <v>12</v>
      </c>
      <c r="G57">
        <f>G54-52*2-22*2</f>
        <v>673</v>
      </c>
      <c r="H57">
        <v>0.242</v>
      </c>
      <c r="I57">
        <f>F57*G57*H57/1000</f>
        <v>1.9543920000000001</v>
      </c>
      <c r="J57">
        <v>12</v>
      </c>
    </row>
    <row r="58">
      <c r="B58" t="str">
        <v>Ốp móc</v>
      </c>
      <c r="C58" t="str">
        <v>Đứng</v>
      </c>
      <c r="D58" t="str">
        <v>VNS55A04</v>
      </c>
      <c r="E58" t="str">
        <v>90-90</v>
      </c>
      <c r="F58">
        <f>$C$8*J58</f>
        <v>8</v>
      </c>
      <c r="G58">
        <f>G54</f>
        <v>821</v>
      </c>
      <c r="H58">
        <f>$I$40</f>
        <v>0.412</v>
      </c>
      <c r="I58">
        <f>F58*G58*H58/1000</f>
        <v>2.706016</v>
      </c>
      <c r="J58">
        <v>8</v>
      </c>
    </row>
    <row r="61">
      <c r="B61" t="str">
        <v>KÍCH THƯỚC CẮT KÍNH</v>
      </c>
    </row>
    <row r="62">
      <c r="B62" t="str">
        <v>Tên kính</v>
      </c>
      <c r="C62" t="str">
        <v>Rộng</v>
      </c>
      <c r="D62" t="str">
        <v>Cao</v>
      </c>
      <c r="E62" t="str">
        <v>Số lượng</v>
      </c>
      <c r="F62" t="str">
        <v>Diện tích kính (m2)</v>
      </c>
      <c r="G62" t="str">
        <v>Vị trí</v>
      </c>
    </row>
    <row r="63">
      <c r="B63">
        <f>$C$7</f>
        <v>6</v>
      </c>
      <c r="C63">
        <f>G53-I24*2-I12</f>
        <v>789.8333333333334</v>
      </c>
      <c r="D63">
        <f>G54-I24*2-I12</f>
        <v>709</v>
      </c>
      <c r="E63">
        <f>6*$C$8</f>
        <v>6</v>
      </c>
      <c r="F63">
        <f>E63*D63*C63/10^6</f>
        <v>3.359951</v>
      </c>
      <c r="G63" t="str">
        <v>cánh</v>
      </c>
    </row>
    <row r="66">
      <c r="B66" t="str">
        <v>PHỤ KIỆN</v>
      </c>
      <c r="C66" t="str">
        <v>Trượt 3 cánh</v>
      </c>
    </row>
    <row r="67">
      <c r="B67" t="str">
        <v>Tên</v>
      </c>
      <c r="C67" t="str">
        <v>Mã</v>
      </c>
      <c r="D67" t="str">
        <v>ĐVT</v>
      </c>
      <c r="E67" t="str">
        <v>Số lượng</v>
      </c>
    </row>
    <row r="68">
      <c r="B68" t="str">
        <v>Con lăn cửa sổ trượt XF55</v>
      </c>
      <c r="C68" t="str">
        <v>XF55-TCL</v>
      </c>
      <c r="D68" t="str">
        <v>Chiếc</v>
      </c>
      <c r="E68">
        <f>H68*$H$5</f>
        <v>12</v>
      </c>
      <c r="H68">
        <v>12</v>
      </c>
    </row>
    <row r="69">
      <c r="B69" t="str">
        <v>Khóa sò XF55</v>
      </c>
      <c r="C69" t="str">
        <v>XF55-TKS</v>
      </c>
      <c r="D69" t="str">
        <v>Chiếc</v>
      </c>
      <c r="E69">
        <f>H69*$H$5</f>
        <v>4</v>
      </c>
      <c r="H69">
        <v>4</v>
      </c>
    </row>
    <row r="70">
      <c r="B70" t="str">
        <v>Chống va cửa trượt XF55</v>
      </c>
      <c r="C70" t="str">
        <v>XF55-TCV</v>
      </c>
      <c r="D70" t="str">
        <v>Chiếc</v>
      </c>
      <c r="E70">
        <f>H70*$H$5</f>
        <v>4</v>
      </c>
      <c r="H70">
        <v>4</v>
      </c>
    </row>
    <row r="71">
      <c r="B71" t="str">
        <v>Chống nhấc cửa trượt XF55</v>
      </c>
      <c r="C71" t="str">
        <v>XF55-TCN</v>
      </c>
      <c r="D71" t="str">
        <v>Chiếc</v>
      </c>
      <c r="E71">
        <f>H71*$H$5</f>
        <v>4</v>
      </c>
      <c r="H71">
        <v>4</v>
      </c>
    </row>
    <row r="72">
      <c r="B72" t="str">
        <v>Ke nhảy khung mở trượt XF55</v>
      </c>
      <c r="C72" t="str">
        <v>XF55-TKNK</v>
      </c>
      <c r="D72" t="str">
        <v>Chiếc</v>
      </c>
      <c r="E72">
        <f>H72*$H$5</f>
        <v>4</v>
      </c>
      <c r="H72">
        <v>4</v>
      </c>
    </row>
    <row r="73">
      <c r="B73" t="str">
        <v>Ke khung mở rộng XF55</v>
      </c>
      <c r="C73" t="str">
        <v>XF55-TKMR</v>
      </c>
      <c r="D73" t="str">
        <v>Chiếc</v>
      </c>
      <c r="E73">
        <f>H73*$H$5</f>
        <v>4</v>
      </c>
      <c r="H73">
        <v>4</v>
      </c>
    </row>
    <row r="74">
      <c r="B74" t="str">
        <v>ke nhảy cánh trượt XF55</v>
      </c>
      <c r="C74" t="str">
        <v>XF55-TKNC</v>
      </c>
      <c r="D74" t="str">
        <v>Chiếc</v>
      </c>
      <c r="E74">
        <f>H74*$H$5</f>
        <v>24</v>
      </c>
      <c r="H74">
        <v>24</v>
      </c>
    </row>
    <row r="77">
      <c r="B77" t="str">
        <v>BẢNG TÍNH GIÁ THÀNH</v>
      </c>
    </row>
    <row r="78">
      <c r="B78" t="str">
        <v>Tên gọi</v>
      </c>
      <c r="C78" t="str">
        <v>Đơn vị tính</v>
      </c>
      <c r="D78" t="str">
        <v>Số lượng</v>
      </c>
      <c r="E78" t="str">
        <v>Đơn giá</v>
      </c>
      <c r="F78" t="str">
        <v>Thành tiền</v>
      </c>
    </row>
    <row r="79">
      <c r="B79" t="str">
        <v>Nhôm (VNĐ)</v>
      </c>
      <c r="C79" t="str">
        <v>Kg</v>
      </c>
      <c r="D79">
        <f>SUM(I46:I58)</f>
        <v>53.38610499999999</v>
      </c>
      <c r="E79">
        <f>C9</f>
        <v>98000</v>
      </c>
      <c r="F79">
        <f>E79*D79</f>
        <v>5231838.289999999</v>
      </c>
    </row>
    <row r="80">
      <c r="B80" t="str">
        <v>Kính (VNĐ)</v>
      </c>
      <c r="C80" t="str">
        <v>m2</v>
      </c>
      <c r="D80">
        <f>SUM(F63:F63)</f>
        <v>3.359951</v>
      </c>
      <c r="E80">
        <f>C10</f>
        <v>245000</v>
      </c>
      <c r="F80">
        <f>E80*D80</f>
        <v>823187.995</v>
      </c>
    </row>
    <row r="81">
      <c r="B81" t="str">
        <v>Phụ Kiện (tự nhập) (VNĐ)</v>
      </c>
    </row>
    <row r="82">
      <c r="B82" t="str">
        <v>Vật Tư Phụ (tự nhập) (VNĐ)</v>
      </c>
    </row>
    <row r="83">
      <c r="B83" t="str">
        <v>Công Sản Xuất + Lắp Đặt (VNĐ)</v>
      </c>
    </row>
    <row r="84">
      <c r="B84" t="str">
        <v>Tổng (chưa tính hao hụt nhôm)</v>
      </c>
      <c r="F84">
        <f>SUM(F79:F83)</f>
        <v>6055026.284999999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B61</v>
      </c>
      <c r="D2" t="str">
        <v>B66</v>
      </c>
      <c r="E2" t="str">
        <v>B77</v>
      </c>
    </row>
    <row r="3">
      <c r="A3" t="str">
        <v>C10</v>
      </c>
      <c r="B3" t="str">
        <v>G58</v>
      </c>
      <c r="C3" t="str">
        <v>G63</v>
      </c>
      <c r="D3" t="str">
        <v>E74</v>
      </c>
      <c r="E3" t="str">
        <v>F84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2025-08-28T03:16:09Z</dcterms:modified>
  <cp:lastModifiedBy>Admin</cp:lastModifiedBy>
  <cp:lastPrinted>2014-12-05T03:23:20Z</cp:lastPrinted>
  <dc:creator>Windows User</dc:creator>
</cp:coreProperties>
</file>