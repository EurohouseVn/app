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xf s1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&quot;H2=&quot;0"/>
    <numFmt numFmtId="167" formatCode="0.0000"/>
    <numFmt numFmtId="168" formatCode="_(* #,##0.0_);_(* \(#,##0.0\);_(* &quot;-&quot;??_);_(@_)"/>
    <numFmt numFmtId="169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rightToLeft="0"/>
  </sheetViews>
  <sheetData>
    <row r="2">
      <c r="B2" t="str">
        <v>BẢN VẼ SẢN XUẤT XINGFA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C1</v>
      </c>
      <c r="F4" t="str">
        <v>Giá nhôm (VNĐ/Kg)</v>
      </c>
      <c r="G4">
        <v>98000</v>
      </c>
      <c r="H4" t="str">
        <v>Lá chớp</v>
      </c>
    </row>
    <row r="5">
      <c r="B5" t="str">
        <v>Rộng Cửa (B) (mm)</v>
      </c>
      <c r="C5">
        <v>680</v>
      </c>
      <c r="F5" t="str">
        <v>Giá kính (VNĐ/m2)</v>
      </c>
      <c r="G5">
        <v>245000</v>
      </c>
      <c r="H5">
        <f>C8</f>
        <v>1</v>
      </c>
      <c r="I5">
        <f>C11</f>
        <v>0.8704</v>
      </c>
    </row>
    <row r="6">
      <c r="B6" t="str">
        <v>Cao Cửa (H) (mm)</v>
      </c>
      <c r="C6">
        <v>1280</v>
      </c>
      <c r="F6" t="str">
        <v>(1)-Cánh cửa đi ngậm khung</v>
      </c>
      <c r="G6">
        <v>7</v>
      </c>
    </row>
    <row r="7">
      <c r="B7" t="str">
        <v>Số lượng lá</v>
      </c>
      <c r="C7">
        <v>25</v>
      </c>
      <c r="F7" t="str">
        <v>(2)-Cánh cửa sổ ngậm khung</v>
      </c>
      <c r="G7">
        <v>6</v>
      </c>
    </row>
    <row r="8">
      <c r="B8" t="str">
        <v>Số bộ</v>
      </c>
      <c r="C8">
        <v>1</v>
      </c>
      <c r="F8" t="str">
        <v>(3)-Khe hở giữa cửa đi 2 (4) cánh</v>
      </c>
      <c r="G8">
        <v>5</v>
      </c>
    </row>
    <row r="9">
      <c r="B9" t="str">
        <v>Giá nhôm (VNĐ/Kg)</v>
      </c>
      <c r="C9">
        <v>98000</v>
      </c>
      <c r="F9" t="str">
        <v>(4)-Khe hở cánh cửa đi 4 cánh</v>
      </c>
      <c r="G9">
        <v>5</v>
      </c>
    </row>
    <row r="10">
      <c r="B10" t="str">
        <v>Giá kính (VNĐ/m2)</v>
      </c>
      <c r="C10">
        <v>245000</v>
      </c>
      <c r="F10" t="str">
        <v>(5)-Khe hở giữa cửa sổ 2 cánh</v>
      </c>
      <c r="G10">
        <v>5</v>
      </c>
    </row>
    <row r="11">
      <c r="B11" t="str">
        <v>Diện tích/bộ</v>
      </c>
      <c r="C11">
        <f>C5*C6/10^6</f>
        <v>0.8704</v>
      </c>
      <c r="F11" t="str">
        <v>C3328- Khung cửa đi quay (kg/m)</v>
      </c>
      <c r="G11">
        <v>1.257</v>
      </c>
    </row>
    <row r="12">
      <c r="B12" t="str">
        <v>Tổng diện tích</v>
      </c>
      <c r="C12">
        <f>C11*C8</f>
        <v>0.8704</v>
      </c>
      <c r="F12" t="str">
        <v>C3318- Khung cửa sổ quay (kg/m)</v>
      </c>
      <c r="G12">
        <v>0.876</v>
      </c>
    </row>
    <row r="13">
      <c r="F13" t="str">
        <v>C3209- Khung vách (kg/m)</v>
      </c>
      <c r="G13">
        <v>0.802</v>
      </c>
    </row>
    <row r="14">
      <c r="F14" t="str">
        <v>C3313- Đố chia khung mở quay (kg/m)</v>
      </c>
      <c r="G14">
        <v>1.01</v>
      </c>
    </row>
    <row r="15">
      <c r="F15" t="str">
        <v>C3203- Đố chia cánh, vách (kg/m)</v>
      </c>
      <c r="G15">
        <v>0.95</v>
      </c>
    </row>
    <row r="16">
      <c r="F16" t="str">
        <v>C3303- Cánh đi mở quay (kg/m)</v>
      </c>
      <c r="G16">
        <v>1.441</v>
      </c>
    </row>
    <row r="17">
      <c r="F17" t="str">
        <v>C3304- Cánh ngang dưới Cđi (kg/m)</v>
      </c>
      <c r="G17">
        <v>2.023</v>
      </c>
    </row>
    <row r="18">
      <c r="F18" t="str">
        <v>C3323- Đố động cửa đi (kg/m)</v>
      </c>
      <c r="G18">
        <v>1.086</v>
      </c>
    </row>
    <row r="19">
      <c r="F19" t="str">
        <v>C3202- Cánh cửa sổ quay (kg/m)</v>
      </c>
      <c r="G19">
        <v>1.088</v>
      </c>
    </row>
    <row r="20">
      <c r="F20" t="str">
        <v>C3033- Đố động cửa sổ (kg/m)</v>
      </c>
      <c r="G20">
        <v>0.825</v>
      </c>
    </row>
    <row r="21">
      <c r="F21" t="str">
        <v>C3295- Nẹp cánh, vách (kg/m)</v>
      </c>
      <c r="G21">
        <v>0.271</v>
      </c>
    </row>
    <row r="22">
      <c r="F22" t="str">
        <v>C3296- Nẹp vách liền cửa (kg/m)</v>
      </c>
      <c r="G22">
        <v>0.237</v>
      </c>
    </row>
    <row r="23">
      <c r="F23" t="str">
        <v>C3329- Ốp chân cánh (kg/m)</v>
      </c>
      <c r="G23">
        <v>0.428</v>
      </c>
    </row>
    <row r="24">
      <c r="F24" t="str">
        <v>C3300- Nối khung (kg/m)</v>
      </c>
      <c r="G24">
        <v>0.347</v>
      </c>
    </row>
    <row r="25">
      <c r="F25" t="str">
        <v>D1541A- Khung trên cửa trượt (kg/m)</v>
      </c>
      <c r="G25">
        <v>1.436</v>
      </c>
    </row>
    <row r="26">
      <c r="F26" t="str">
        <v>D1942- khung dưới ray lệch 25-35 (kg/m)</v>
      </c>
      <c r="G26">
        <v>1.54</v>
      </c>
    </row>
    <row r="27">
      <c r="F27" t="str">
        <v>D1942A- khung dưới ray bằng 25 (kg/m)</v>
      </c>
      <c r="G27">
        <v>1.413</v>
      </c>
    </row>
    <row r="28">
      <c r="F28" t="str">
        <v>D1543A- Khung Đứng cửa trượt (kg/m)</v>
      </c>
      <c r="G28">
        <v>1.134</v>
      </c>
    </row>
    <row r="29">
      <c r="F29" t="str">
        <v>D1544A- Cánh trên H93A cửa trượt (kg/m)</v>
      </c>
      <c r="G29">
        <v>0.99</v>
      </c>
    </row>
    <row r="30">
      <c r="F30" t="str">
        <v>D1555A- Cánh dưới H93A cửa trượt (kg/m)</v>
      </c>
      <c r="G30">
        <v>1.243</v>
      </c>
    </row>
    <row r="31">
      <c r="F31" t="str">
        <v>D1546A- Cánh đứng H93A cửa trượt (kg/m)</v>
      </c>
      <c r="G31">
        <v>1.273</v>
      </c>
    </row>
    <row r="32">
      <c r="F32" t="str">
        <v>D1547A- Cánh móc H93A cửa trượt (kg/m)</v>
      </c>
      <c r="G32">
        <v>1.098</v>
      </c>
    </row>
    <row r="33">
      <c r="F33" t="str">
        <v>D1548A- Hèm đối đầu (kg/m)</v>
      </c>
      <c r="G33">
        <v>0.62</v>
      </c>
    </row>
    <row r="34">
      <c r="F34" t="str">
        <v>D1559A- Khung vách kính trượt (kg/m)</v>
      </c>
      <c r="G34">
        <v>1.035</v>
      </c>
    </row>
    <row r="35">
      <c r="F35" t="str">
        <v>D1549A- Ốp vách (kg/m)</v>
      </c>
      <c r="G35">
        <v>0.648</v>
      </c>
    </row>
    <row r="36">
      <c r="F36" t="str">
        <v>D2618- Đố T vách kính trượt (kg/m)</v>
      </c>
      <c r="G36">
        <v>1.486</v>
      </c>
    </row>
    <row r="37">
      <c r="F37" t="str">
        <v>C101- Sập vách cửa trượt (kg/m)</v>
      </c>
      <c r="G37">
        <v>0.133</v>
      </c>
    </row>
    <row r="38">
      <c r="F38" t="str">
        <v>XF- Khung cửa trượt 55 (kg/m)</v>
      </c>
      <c r="G38">
        <v>0.83</v>
      </c>
    </row>
    <row r="39">
      <c r="F39" t="str">
        <v>XF- Cánh cửa trượt 55 (kg/m)</v>
      </c>
      <c r="G39">
        <v>0.843</v>
      </c>
    </row>
    <row r="40">
      <c r="F40" t="str">
        <v>XF- Móc cánh cửa trượt 55 (kg/m)</v>
      </c>
      <c r="G40">
        <v>0.34</v>
      </c>
    </row>
    <row r="41">
      <c r="F41" t="str">
        <v>XF- Hèm đối đầu trượt 55 (kg/m)</v>
      </c>
      <c r="G41">
        <v>0.213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chớp</v>
      </c>
      <c r="C46" t="str">
        <v>Ngang</v>
      </c>
      <c r="D46" t="str">
        <v>E1283m</v>
      </c>
      <c r="E46" t="str">
        <v>45-45</v>
      </c>
      <c r="F46">
        <f>$C$8*J46</f>
        <v>2</v>
      </c>
      <c r="G46">
        <f>C5</f>
        <v>680</v>
      </c>
      <c r="H46">
        <v>0.29</v>
      </c>
      <c r="I46">
        <f>F46*G46*H46/1000</f>
        <v>0.3944</v>
      </c>
      <c r="J46">
        <v>2</v>
      </c>
    </row>
    <row r="47">
      <c r="B47" t="str">
        <v>Khung chớp</v>
      </c>
      <c r="C47" t="str">
        <v>Đứng</v>
      </c>
      <c r="D47" t="str">
        <v>E1283m</v>
      </c>
      <c r="E47" t="str">
        <v>45-45</v>
      </c>
      <c r="F47">
        <f>$C$8*J47</f>
        <v>2</v>
      </c>
      <c r="G47">
        <f>C6</f>
        <v>1280</v>
      </c>
      <c r="H47">
        <v>0.29</v>
      </c>
      <c r="I47">
        <f>F47*G47*H47/1000</f>
        <v>0.7424</v>
      </c>
      <c r="J47">
        <v>2</v>
      </c>
    </row>
    <row r="48">
      <c r="B48" t="str">
        <v>Lá chớp</v>
      </c>
      <c r="C48" t="str">
        <v>Ngang</v>
      </c>
      <c r="D48" t="str">
        <v>E192m</v>
      </c>
      <c r="E48" t="str">
        <v>90-90</v>
      </c>
      <c r="F48">
        <f>C7*C8</f>
        <v>25</v>
      </c>
      <c r="G48">
        <f>G46-4*2</f>
        <v>672</v>
      </c>
      <c r="H48">
        <v>0.317</v>
      </c>
      <c r="I48">
        <f>F48*G48*H48/1000</f>
        <v>5.3256000000000006</v>
      </c>
      <c r="J48">
        <v>2</v>
      </c>
    </row>
    <row r="49">
      <c r="B49" t="str">
        <v>Khoảng cách lá</v>
      </c>
      <c r="C49" t="str">
        <v>Lá 1</v>
      </c>
      <c r="D49" t="str">
        <v>Tiêu chuẩn=50</v>
      </c>
      <c r="E49" t="str">
        <v>Lá 2</v>
      </c>
      <c r="F49">
        <v>0</v>
      </c>
      <c r="G49">
        <f>(C6-8)/C7</f>
        <v>50.88</v>
      </c>
      <c r="I49">
        <f>F49*G49*H49/1000</f>
        <v>0</v>
      </c>
      <c r="J49">
        <v>0</v>
      </c>
    </row>
    <row r="52">
      <c r="B52" t="str">
        <v>KÍCH THƯỚC CẮT KÍNH</v>
      </c>
    </row>
    <row r="53">
      <c r="B53" t="str">
        <v>Tên kính</v>
      </c>
      <c r="C53" t="str">
        <v>Rộng</v>
      </c>
      <c r="D53" t="str">
        <v>Cao</v>
      </c>
      <c r="E53" t="str">
        <v>Số lượng</v>
      </c>
      <c r="F53" t="str">
        <v>Diện tích kính (m2)</v>
      </c>
      <c r="G53" t="str">
        <v>Vị trí</v>
      </c>
    </row>
    <row r="56">
      <c r="B56" t="str">
        <v>PHỤ KIỆN</v>
      </c>
      <c r="C56" t="str">
        <v>đi 1 cánh</v>
      </c>
    </row>
    <row r="57">
      <c r="B57" t="str">
        <v>Tên</v>
      </c>
      <c r="C57" t="str">
        <v>Mã</v>
      </c>
      <c r="D57" t="str">
        <v>ĐVT</v>
      </c>
      <c r="E57" t="str">
        <v>Số lượng</v>
      </c>
      <c r="H57" t="str">
        <v>SL/Bộ</v>
      </c>
    </row>
    <row r="60">
      <c r="B60" t="str">
        <v>BẢNG TÍNH GIÁ THÀNH</v>
      </c>
    </row>
    <row r="61">
      <c r="B61" t="str">
        <v>Tên gọi</v>
      </c>
      <c r="C61" t="str">
        <v>Đơn vị tính</v>
      </c>
      <c r="D61" t="str">
        <v>Số lượng</v>
      </c>
      <c r="E61" t="str">
        <v>Đơn giá</v>
      </c>
      <c r="F61" t="str">
        <v>Thành tiền</v>
      </c>
    </row>
    <row r="62">
      <c r="B62" t="str">
        <v>Nhôm (VNĐ)</v>
      </c>
      <c r="C62" t="str">
        <v>Kg</v>
      </c>
      <c r="D62">
        <f>SUM(I46:I48)</f>
        <v>6.462400000000001</v>
      </c>
      <c r="E62">
        <f>C9</f>
        <v>98000</v>
      </c>
      <c r="F62">
        <f>E62*D62</f>
        <v>633315.2000000001</v>
      </c>
    </row>
    <row r="63">
      <c r="B63" t="str">
        <v>Kính (VNĐ)</v>
      </c>
      <c r="C63" t="str">
        <v>m2</v>
      </c>
      <c r="D63">
        <v>0</v>
      </c>
      <c r="E63">
        <v>0</v>
      </c>
      <c r="F63">
        <f>E63*D63</f>
        <v>0</v>
      </c>
    </row>
    <row r="64">
      <c r="B64" t="str">
        <v>Phụ Kiện (tự nhập) (VNĐ)</v>
      </c>
    </row>
    <row r="65">
      <c r="B65" t="str">
        <v>Vật Tư Phụ (tự nhập) (VNĐ)</v>
      </c>
    </row>
    <row r="66">
      <c r="B66" t="str">
        <v>Công Sản Xuất + Lắp Đặt (VNĐ)</v>
      </c>
    </row>
    <row r="67">
      <c r="B67" t="str">
        <v>Tổng (chưa tính hao hụt nhôm)</v>
      </c>
      <c r="F67">
        <f>SUM(F62:F66)</f>
        <v>633315.2000000001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B52</v>
      </c>
      <c r="D2" t="str">
        <v>B56</v>
      </c>
      <c r="E2" t="str">
        <v>B60</v>
      </c>
    </row>
    <row r="3">
      <c r="A3" t="str">
        <v>C9</v>
      </c>
      <c r="B3" t="str">
        <v>G49</v>
      </c>
      <c r="C3" t="str">
        <v>G53</v>
      </c>
      <c r="D3" t="str">
        <v>E57</v>
      </c>
      <c r="E3" t="str">
        <v>F67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F67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xf s1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2026-03-05T08:29:26Z</dcterms:modified>
  <cp:lastModifiedBy>nguyen cuong</cp:lastModifiedBy>
  <cp:lastPrinted>2014-12-05T03:23:20Z</cp:lastPrinted>
  <dc:creator>Windows User</dc:creator>
</cp:coreProperties>
</file>