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 standalone="yes"?>
<workbook xmlns="http://schemas.openxmlformats.org/spreadsheetml/2006/main" xmlns:r="http://schemas.openxmlformats.org/officeDocument/2006/relationships"><workbookPr codeName="ThisWorkbook" defaultThemeVersion="124226"/><sheets><sheet name="CSMQ2C (2)" sheetId="1" r:id="rId1"/><sheet name="TSS1" sheetId="2" r:id="rId2"/></sheets><definedNames><definedName name="AllSh">SUBSTITUTE(ShN,"["&Wb&"]","")</definedName><definedName name="EP08E">'[1]gia vat tu'!$D$13</definedName><definedName name="EP265K">'[1]gia vat tu'!$D$16</definedName><definedName name="EP27E">'[1]gia vat tu'!$D$14</definedName><definedName name="Glass" localSheetId="0">[2]Glass!$B$8:$B$17</definedName><definedName name="Henhom" localSheetId="0">[2]Alu!$D$91:$D$95</definedName><definedName name="K_Inox">'[1]gia vat tu'!$D$21</definedName><definedName name="Keo_bot">'[1]gia vat tu'!$D$20</definedName><definedName name="kinh">#REF!</definedName><definedName name="MA_CSMQXF55">[2]Alu!$B$33:$B$48</definedName><definedName name="SiK">'[1]gia vat tu'!$D$18</definedName><definedName name="SiT">'[1]gia vat tu'!$D$19</definedName><definedName name="VIT_Inox">'[1]gia vat tu'!$D$24</definedName><definedName name="vitri">[2]Alu!$D$97:$D$109</definedName><definedName name="VT_PHU" localSheetId="0">[2]Phụ!$B$2:$B$14</definedName></definedNames></workbook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&quot;H2=&quot;0"/>
    <numFmt numFmtId="166" formatCode="_(* #,##0.0_);_(* \(#,##0.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0"/>
  <sheetViews>
    <sheetView workbookViewId="0"/>
  </sheetViews>
  <sheetData>
    <row r="2">
      <c r="B2" t="str">
        <v>BẢN VẼ SẢN XUẤT AP55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S3.2</v>
      </c>
      <c r="F4" t="str">
        <v>Giá nhôm (VNĐ/Kg)</v>
      </c>
      <c r="G4">
        <v>90000</v>
      </c>
      <c r="H4" t="str">
        <v>Cửa sổ mở quay (hất) 4 cánh</v>
      </c>
    </row>
    <row r="5">
      <c r="B5" t="str">
        <v>Rộng Cửa (B) (mm)</v>
      </c>
      <c r="C5">
        <v>1800</v>
      </c>
      <c r="F5" t="str">
        <v>Giá kính (VNĐ/m2)</v>
      </c>
      <c r="G5">
        <v>245000</v>
      </c>
      <c r="H5">
        <f>C10</f>
        <v>1</v>
      </c>
      <c r="I5">
        <f>C13</f>
        <v>3.42</v>
      </c>
    </row>
    <row r="6">
      <c r="B6" t="str">
        <v>Cao Cửa (H) (mm)</v>
      </c>
      <c r="C6">
        <v>1900</v>
      </c>
      <c r="F6" t="str">
        <v>(1)-Cánh cửa đi ngậm khung</v>
      </c>
      <c r="G6">
        <v>7</v>
      </c>
    </row>
    <row r="7">
      <c r="B7" t="str">
        <v>B1 (mm)</v>
      </c>
      <c r="C7">
        <v>600</v>
      </c>
      <c r="F7" t="str">
        <v>(2)-Cánh cửa sổ ngậm khung</v>
      </c>
      <c r="G7">
        <v>7</v>
      </c>
    </row>
    <row r="8">
      <c r="B8" t="str">
        <v>H1 (mm)</v>
      </c>
      <c r="C8">
        <v>1600</v>
      </c>
      <c r="F8" t="str">
        <v>(3)-Khe hở giữa cửa đi 2 (4) cánh</v>
      </c>
      <c r="G8">
        <v>5</v>
      </c>
    </row>
    <row r="9">
      <c r="B9" t="str">
        <v>Loại kính</v>
      </c>
      <c r="C9">
        <v>6</v>
      </c>
      <c r="F9" t="str">
        <v>(4)-Khe hở cánh cửa đi 4 cánh</v>
      </c>
      <c r="G9">
        <v>5</v>
      </c>
    </row>
    <row r="10">
      <c r="B10" t="str">
        <v>Số bộ</v>
      </c>
      <c r="C10">
        <v>1</v>
      </c>
      <c r="F10" t="str">
        <v>(5)-Khe hở giữa cửa sổ 2 cánh</v>
      </c>
      <c r="G10">
        <v>5</v>
      </c>
    </row>
    <row r="11">
      <c r="B11" t="str">
        <v>Giá nhôm (VNĐ/Kg)</v>
      </c>
      <c r="C11">
        <v>90000</v>
      </c>
      <c r="F11" t="str">
        <v>(6)-Cánh cửa trượt ngậm khung</v>
      </c>
      <c r="G11">
        <v>10</v>
      </c>
    </row>
    <row r="12">
      <c r="B12" t="str">
        <v>Giá kính (VNĐ/m2)</v>
      </c>
      <c r="C12">
        <v>245000</v>
      </c>
      <c r="F12" t="str">
        <v>(7)-Khe hở kính</v>
      </c>
      <c r="G12">
        <v>10</v>
      </c>
    </row>
    <row r="13">
      <c r="B13" t="str">
        <v>Diện tích/bộ</v>
      </c>
      <c r="C13">
        <f>C5*C6/10^6</f>
        <v>3.42</v>
      </c>
      <c r="F13" t="str">
        <v>(8)-Cao khung mở quay (tính cánh)</v>
      </c>
      <c r="G13">
        <v>31</v>
      </c>
    </row>
    <row r="14">
      <c r="B14" t="str">
        <v>Tổng diện tích</v>
      </c>
      <c r="C14">
        <f>C13*C10</f>
        <v>3.42</v>
      </c>
      <c r="F14" t="str">
        <v>(9)-Cao khung mở quay (tính đố)</v>
      </c>
      <c r="G14">
        <v>20</v>
      </c>
    </row>
    <row r="15">
      <c r="F15" t="str">
        <v>(10)-Cao đố chia vách (tính cánh)</v>
      </c>
      <c r="G15">
        <v>37</v>
      </c>
    </row>
    <row r="16">
      <c r="F16" t="str">
        <v>(11)-Cao đố chia vách (tính đố)</v>
      </c>
      <c r="G16">
        <v>15</v>
      </c>
    </row>
    <row r="17">
      <c r="F17" t="str">
        <v>(12)-Cao cánh cửa đi (tính kính, nẹp)</v>
      </c>
      <c r="G17">
        <v>70</v>
      </c>
    </row>
    <row r="18">
      <c r="F18" t="str">
        <v>(13)-Cao cánh cửa đi (tính đố cánh)</v>
      </c>
      <c r="G18">
        <v>77</v>
      </c>
    </row>
    <row r="19">
      <c r="F19" t="str">
        <v>(14)-Cao đố cánh cửa đi</v>
      </c>
      <c r="G19">
        <v>24</v>
      </c>
    </row>
    <row r="20">
      <c r="F20" t="str">
        <v>(15)-Cao cánh cửa sổ (tính kính)</v>
      </c>
      <c r="G20">
        <v>54</v>
      </c>
    </row>
    <row r="21">
      <c r="F21" t="str">
        <v>(16)-Cao nẹp (tính nẹp vách)</v>
      </c>
      <c r="G21">
        <v>19</v>
      </c>
      <c r="H21">
        <v>19</v>
      </c>
    </row>
    <row r="22">
      <c r="F22" t="str">
        <v>(17)-Cao khung cửa trượt</v>
      </c>
      <c r="G22">
        <v>44</v>
      </c>
    </row>
    <row r="23">
      <c r="F23" t="str">
        <v>(18)-Cao cánh cửa trượt (tính cánh)</v>
      </c>
      <c r="G23">
        <v>72</v>
      </c>
    </row>
    <row r="24">
      <c r="F24" t="str">
        <v>(19)-Cao cánh cửa trượt (tính kính)</v>
      </c>
      <c r="G24">
        <v>58</v>
      </c>
    </row>
    <row r="25">
      <c r="F25" t="str">
        <v>(20)-Chiều dày hèm đối đầu cửa trượt</v>
      </c>
      <c r="G25">
        <v>2</v>
      </c>
    </row>
    <row r="26">
      <c r="F26" t="str">
        <v>(21)-Chiều dày thanh nối khung</v>
      </c>
      <c r="G26">
        <v>2</v>
      </c>
    </row>
    <row r="27">
      <c r="F27" t="str">
        <v>AP55- Khung cửa mở quay (kg/m)</v>
      </c>
      <c r="G27">
        <v>0.625</v>
      </c>
    </row>
    <row r="28">
      <c r="F28" t="str">
        <v>AP55- Đố chia khung (kg/m)</v>
      </c>
      <c r="G28">
        <v>0.792</v>
      </c>
    </row>
    <row r="29">
      <c r="F29" t="str">
        <v>AP55- Cánh cửa sổ quay (kg/m)</v>
      </c>
      <c r="G29">
        <v>0.725</v>
      </c>
    </row>
    <row r="30">
      <c r="F30" t="str">
        <v>AP55- Cánh cửa đi (kg/m)</v>
      </c>
      <c r="G30">
        <v>0.903</v>
      </c>
    </row>
    <row r="31">
      <c r="F31" t="str">
        <v>AP55- Đố cánh cửa đi (kg/m)</v>
      </c>
      <c r="G31">
        <v>0.667</v>
      </c>
    </row>
    <row r="32">
      <c r="F32" t="str">
        <v>AP55- Đố động (kg/m)</v>
      </c>
      <c r="G32">
        <v>0.57</v>
      </c>
    </row>
    <row r="33">
      <c r="F33" t="str">
        <v>AP55- Ốp đáy (kg/m)</v>
      </c>
      <c r="G33">
        <v>0.125</v>
      </c>
    </row>
    <row r="34">
      <c r="F34" t="str">
        <v>AP55- Nẹp vách (kg/m)</v>
      </c>
      <c r="G34">
        <v>0.225</v>
      </c>
    </row>
    <row r="35">
      <c r="F35" t="str">
        <v>AP55- Nối khung (kg/m)</v>
      </c>
      <c r="G35">
        <v>0.347</v>
      </c>
    </row>
    <row r="36">
      <c r="F36" t="str">
        <v>AP55- Khung cửa trượt (kg/m)</v>
      </c>
      <c r="G36">
        <v>0.713</v>
      </c>
    </row>
    <row r="37">
      <c r="F37" t="str">
        <v>AP55- Cánh cửa trượt (kg/m)</v>
      </c>
      <c r="G37">
        <v>0.678</v>
      </c>
    </row>
    <row r="38">
      <c r="F38" t="str">
        <v>AP55- Móc cánh cửa trượt (kg/m)</v>
      </c>
      <c r="G38">
        <v>0.292</v>
      </c>
    </row>
    <row r="39">
      <c r="F39" t="str">
        <v>AP55- Hèm đối đầu (kg/m)</v>
      </c>
      <c r="G39">
        <v>0.358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AP55- Khung cửa mở quay</v>
      </c>
      <c r="C46" t="str">
        <v>Ngang</v>
      </c>
      <c r="D46" t="str">
        <v>AP5501</v>
      </c>
      <c r="E46" t="str">
        <v>45-45</v>
      </c>
      <c r="F46">
        <f>$C$10*J46</f>
        <v>2</v>
      </c>
      <c r="G46">
        <f>C5</f>
        <v>1800</v>
      </c>
      <c r="H46">
        <f>$G$27</f>
        <v>0.625</v>
      </c>
      <c r="I46">
        <f>F46*G46*H46/1000</f>
        <v>2.25</v>
      </c>
      <c r="J46">
        <v>2</v>
      </c>
    </row>
    <row r="47">
      <c r="B47" t="str">
        <v>AP55- Khung cửa mở quay</v>
      </c>
      <c r="C47" t="str">
        <v>Đứng</v>
      </c>
      <c r="D47" t="str">
        <v>AP5501</v>
      </c>
      <c r="E47" t="str">
        <v>45-45</v>
      </c>
      <c r="F47">
        <f>$C$10*J47</f>
        <v>2</v>
      </c>
      <c r="G47">
        <f>C6</f>
        <v>1900</v>
      </c>
      <c r="H47">
        <f>$G$27</f>
        <v>0.625</v>
      </c>
      <c r="I47">
        <f>F47*G47*H47/1000</f>
        <v>2.375</v>
      </c>
      <c r="J47">
        <v>2</v>
      </c>
    </row>
    <row r="48">
      <c r="B48" t="str">
        <v>AP55- Đố chia khung</v>
      </c>
      <c r="C48" t="str">
        <v>Ngang</v>
      </c>
      <c r="D48" t="str">
        <v>AP5508</v>
      </c>
      <c r="E48" t="str">
        <v>90-90</v>
      </c>
      <c r="F48">
        <f>$C$10*J48</f>
        <v>1</v>
      </c>
      <c r="G48">
        <f>G46-G14*2</f>
        <v>1760</v>
      </c>
      <c r="H48">
        <f>$G$28</f>
        <v>0.792</v>
      </c>
      <c r="I48">
        <f>F48*G48*H48/1000</f>
        <v>1.39392</v>
      </c>
      <c r="J48">
        <v>1</v>
      </c>
    </row>
    <row r="49">
      <c r="B49" t="str">
        <v>AP55- Đố chia khung</v>
      </c>
      <c r="C49" t="str">
        <v>Đứng</v>
      </c>
      <c r="D49" t="str">
        <v>AP5508</v>
      </c>
      <c r="E49" t="str">
        <v>90-90</v>
      </c>
      <c r="F49">
        <f>$C$10*J49</f>
        <v>1</v>
      </c>
      <c r="G49">
        <f>C8-G14-G16/2</f>
        <v>1572.5</v>
      </c>
      <c r="H49">
        <f>$G$28</f>
        <v>0.792</v>
      </c>
      <c r="I49">
        <f>F49*G49*H49/1000</f>
        <v>1.24542</v>
      </c>
      <c r="J49">
        <v>1</v>
      </c>
    </row>
    <row r="50">
      <c r="B50" t="str">
        <v>AP55- Đố chia khung</v>
      </c>
      <c r="C50" t="str">
        <v>Đứng</v>
      </c>
      <c r="D50" t="str">
        <v>AP5508</v>
      </c>
      <c r="E50" t="str">
        <v>90-90</v>
      </c>
      <c r="F50">
        <f>$C$10*J50</f>
        <v>2</v>
      </c>
      <c r="G50">
        <f>C6-C8-G14-G16/2</f>
        <v>272.5</v>
      </c>
      <c r="H50">
        <f>$G$28</f>
        <v>0.792</v>
      </c>
      <c r="I50">
        <f>F50*G50*H50/1000</f>
        <v>0.43164</v>
      </c>
      <c r="J50">
        <v>2</v>
      </c>
    </row>
    <row r="51">
      <c r="B51" t="str">
        <v>AP55- Cánh cửa sổ quay</v>
      </c>
      <c r="C51" t="str">
        <v>Ngang</v>
      </c>
      <c r="D51" t="str">
        <v>AP5502</v>
      </c>
      <c r="E51" t="str">
        <v>45-45</v>
      </c>
      <c r="F51">
        <f>$C$10*J51</f>
        <v>2</v>
      </c>
      <c r="G51">
        <f>C7-G13-G15/2+G7*2</f>
        <v>564.5</v>
      </c>
      <c r="H51">
        <f>$G$29</f>
        <v>0.725</v>
      </c>
      <c r="I51">
        <f>F51*G51*H51/1000</f>
        <v>0.818525</v>
      </c>
      <c r="J51">
        <v>2</v>
      </c>
    </row>
    <row r="52">
      <c r="B52" t="str">
        <v>AP55- Cánh cửa sổ quay</v>
      </c>
      <c r="C52" t="str">
        <v>Ngang</v>
      </c>
      <c r="D52" t="str">
        <v>AP5502</v>
      </c>
      <c r="E52" t="str">
        <v>45-45</v>
      </c>
      <c r="F52">
        <f>$C$10*J52</f>
        <v>4</v>
      </c>
      <c r="G52">
        <f>(C5-C7-G13-G15/2-G10+G7*2)/2</f>
        <v>579.75</v>
      </c>
      <c r="H52">
        <f>$G$29</f>
        <v>0.725</v>
      </c>
      <c r="I52">
        <f>F52*G52*H52/1000</f>
        <v>1.6812749999999999</v>
      </c>
      <c r="J52">
        <v>4</v>
      </c>
    </row>
    <row r="53">
      <c r="B53" t="str">
        <v>AP55- Cánh cửa sổ quay</v>
      </c>
      <c r="C53" t="str">
        <v>Đứng</v>
      </c>
      <c r="D53" t="str">
        <v>AP5502</v>
      </c>
      <c r="E53" t="str">
        <v>45-45</v>
      </c>
      <c r="F53">
        <f>$C$10*J53</f>
        <v>6</v>
      </c>
      <c r="G53">
        <f>C8-G13-G15/2+G7*2</f>
        <v>1564.5</v>
      </c>
      <c r="H53">
        <f>$G$29</f>
        <v>0.725</v>
      </c>
      <c r="I53">
        <f>F53*G53*H53/1000</f>
        <v>6.805575</v>
      </c>
      <c r="J53">
        <v>6</v>
      </c>
    </row>
    <row r="54">
      <c r="B54" t="str">
        <v>AP55- Đố động</v>
      </c>
      <c r="C54" t="str">
        <v>Đứng</v>
      </c>
      <c r="D54" t="str">
        <v>AP5510</v>
      </c>
      <c r="E54" t="str">
        <v>90-90</v>
      </c>
      <c r="F54">
        <f>$C$10*J54</f>
        <v>1</v>
      </c>
      <c r="G54">
        <f>G53-H21*2</f>
        <v>1526.5</v>
      </c>
      <c r="H54">
        <f>$G$32</f>
        <v>0.57</v>
      </c>
      <c r="I54">
        <f>F54*G54*H54/1000</f>
        <v>0.8701049999999999</v>
      </c>
      <c r="J54">
        <v>1</v>
      </c>
    </row>
    <row r="55">
      <c r="B55" t="str">
        <v>AP55- Nẹp vách</v>
      </c>
      <c r="C55" t="str">
        <v>Ngang</v>
      </c>
      <c r="D55" t="str">
        <v>AP5518</v>
      </c>
      <c r="E55" t="str">
        <v>90-90</v>
      </c>
      <c r="F55">
        <f>$C$10*J55</f>
        <v>2</v>
      </c>
      <c r="G55">
        <f>C7-G13-G15/2</f>
        <v>550.5</v>
      </c>
      <c r="H55">
        <f>$G$34</f>
        <v>0.225</v>
      </c>
      <c r="I55">
        <f>F55*G55*H55/1000</f>
        <v>0.247725</v>
      </c>
      <c r="J55">
        <v>2</v>
      </c>
    </row>
    <row r="56">
      <c r="B56" t="str">
        <v>AP55- Nẹp vách</v>
      </c>
      <c r="C56" t="str">
        <v>Ngang</v>
      </c>
      <c r="D56" t="str">
        <v>AP5518</v>
      </c>
      <c r="E56" t="str">
        <v>90-90</v>
      </c>
      <c r="F56">
        <f>$C$10*J56</f>
        <v>4</v>
      </c>
      <c r="G56">
        <f>(C5-C7-G13-G15/2-G15)/2</f>
        <v>556.75</v>
      </c>
      <c r="H56">
        <f>$G$34</f>
        <v>0.225</v>
      </c>
      <c r="I56">
        <f>F56*G56*H56/1000</f>
        <v>0.5010749999999999</v>
      </c>
      <c r="J56">
        <v>4</v>
      </c>
    </row>
    <row r="57">
      <c r="B57" t="str">
        <v>AP55- Nẹp vách</v>
      </c>
      <c r="C57" t="str">
        <v>Đứng</v>
      </c>
      <c r="D57" t="str">
        <v>AP5518</v>
      </c>
      <c r="E57" t="str">
        <v>90-90</v>
      </c>
      <c r="F57">
        <f>$C$10*J57</f>
        <v>6</v>
      </c>
      <c r="G57">
        <f>C6-C8-G13-G15/2-G21*2</f>
        <v>212.5</v>
      </c>
      <c r="H57">
        <f>$G$34</f>
        <v>0.225</v>
      </c>
      <c r="I57">
        <f>F57*G57*H57/1000</f>
        <v>0.286875</v>
      </c>
      <c r="J57">
        <v>6</v>
      </c>
    </row>
    <row r="60">
      <c r="B60" t="str">
        <v>KÍCH THƯỚC CẮT KÍNH</v>
      </c>
    </row>
    <row r="61">
      <c r="B61" t="str">
        <v>Tên kính</v>
      </c>
      <c r="C61" t="str">
        <v>Rộng</v>
      </c>
      <c r="D61" t="str">
        <v>Cao</v>
      </c>
      <c r="E61" t="str">
        <v>Số lượng</v>
      </c>
      <c r="F61" t="str">
        <v>Diện tích kính (m2)</v>
      </c>
      <c r="G61" t="str">
        <v>Vị trí</v>
      </c>
    </row>
    <row r="62">
      <c r="B62">
        <f>C9</f>
        <v>6</v>
      </c>
      <c r="C62">
        <f>G51-G20*2-G12</f>
        <v>446.5</v>
      </c>
      <c r="D62">
        <f>G53-G20*2-G12</f>
        <v>1446.5</v>
      </c>
      <c r="E62">
        <f>1*C10</f>
        <v>1</v>
      </c>
      <c r="F62">
        <f>E62*D62*C62/10^6</f>
        <v>0.64586225</v>
      </c>
      <c r="G62" t="str">
        <v>cánh</v>
      </c>
    </row>
    <row r="63">
      <c r="B63">
        <f>C9</f>
        <v>6</v>
      </c>
      <c r="C63">
        <f>G52-G20*2-G12</f>
        <v>461.75</v>
      </c>
      <c r="D63">
        <f>G53-G20*2-G12</f>
        <v>1446.5</v>
      </c>
      <c r="E63">
        <f>2*C10</f>
        <v>2</v>
      </c>
      <c r="F63">
        <f>E63*D63*C63/10^6</f>
        <v>1.33584275</v>
      </c>
      <c r="G63" t="str">
        <v>cánh</v>
      </c>
    </row>
    <row r="64">
      <c r="B64">
        <f>C9</f>
        <v>6</v>
      </c>
      <c r="C64">
        <f>C7-G13-G15/2-G12</f>
        <v>540.5</v>
      </c>
      <c r="D64">
        <f>C6-C8-G13-G15/2-G12</f>
        <v>240.5</v>
      </c>
      <c r="E64">
        <f>1*C10</f>
        <v>1</v>
      </c>
      <c r="F64">
        <f>E64*D64*C64/10^6</f>
        <v>0.12999025</v>
      </c>
      <c r="G64" t="str">
        <v>vách</v>
      </c>
    </row>
    <row r="65">
      <c r="B65">
        <f>C9</f>
        <v>6</v>
      </c>
      <c r="C65">
        <f>(C5-C7-G13-G15/2-G15)/2-G12</f>
        <v>546.75</v>
      </c>
      <c r="D65">
        <f>D64</f>
        <v>240.5</v>
      </c>
      <c r="E65">
        <f>2*C10</f>
        <v>2</v>
      </c>
      <c r="F65">
        <f>E65*D65*C65/10^6</f>
        <v>0.26298675</v>
      </c>
      <c r="G65" t="str">
        <v>vách</v>
      </c>
    </row>
    <row r="68">
      <c r="B68" t="str">
        <v>PHỤ KIỆN</v>
      </c>
      <c r="C68" t="str">
        <v>sổ 1 cánh</v>
      </c>
    </row>
    <row r="69">
      <c r="B69" t="str">
        <v>Tên</v>
      </c>
      <c r="C69" t="str">
        <v>Mã</v>
      </c>
      <c r="D69" t="str">
        <v>ĐVT</v>
      </c>
      <c r="E69" t="str">
        <v>Số lượng</v>
      </c>
      <c r="H69" t="str">
        <v>SL/Bộ</v>
      </c>
    </row>
    <row r="70">
      <c r="B70" t="str">
        <v>Bản lề cửa sổ AP55</v>
      </c>
      <c r="C70" t="str">
        <v>AP55-SBL</v>
      </c>
      <c r="D70" t="str">
        <v>Chiếc</v>
      </c>
      <c r="E70">
        <f>H70*$H$5</f>
        <v>6</v>
      </c>
      <c r="H70">
        <v>6</v>
      </c>
    </row>
    <row r="71">
      <c r="B71" t="str">
        <v>Tay nắm cửa sổ mở quay AP55</v>
      </c>
      <c r="C71" t="str">
        <v>AP55-STN</v>
      </c>
      <c r="D71" t="str">
        <v>Chiếc</v>
      </c>
      <c r="E71">
        <f>H71*$H$5</f>
        <v>2</v>
      </c>
      <c r="H71">
        <v>2</v>
      </c>
    </row>
    <row r="72">
      <c r="B72" t="str">
        <v>Thanh chuyển động AP55</v>
      </c>
      <c r="C72" t="str">
        <v>AP55-STCD</v>
      </c>
      <c r="D72" t="str">
        <v>Thanh</v>
      </c>
      <c r="E72">
        <f>H72*$H$5</f>
        <v>2</v>
      </c>
      <c r="H72">
        <v>2</v>
      </c>
    </row>
    <row r="73">
      <c r="B73" t="str">
        <v>Vấu chốt quay hất cửa sổ AP55</v>
      </c>
      <c r="C73" t="str">
        <v>AP55-SV</v>
      </c>
      <c r="D73" t="str">
        <v>Chiếc</v>
      </c>
      <c r="E73">
        <f>H73*$H$5</f>
        <v>2</v>
      </c>
      <c r="H73">
        <v>2</v>
      </c>
    </row>
    <row r="74">
      <c r="B74" t="str">
        <v>Vấu 2 cánh cửa sổ AP55</v>
      </c>
      <c r="C74" t="str">
        <v>AP55-SV2C</v>
      </c>
      <c r="D74" t="str">
        <v>Chiếc</v>
      </c>
      <c r="E74">
        <f>H74*$H$5</f>
        <v>2</v>
      </c>
      <c r="H74">
        <v>2</v>
      </c>
    </row>
    <row r="75">
      <c r="B75" t="str">
        <v>Chốt cánh phụ cửa sổ AP55</v>
      </c>
      <c r="C75" t="str">
        <v>AP55-SCCP</v>
      </c>
      <c r="D75" t="str">
        <v>Chiếc</v>
      </c>
      <c r="E75">
        <f>H75*$H$5</f>
        <v>2</v>
      </c>
      <c r="H75">
        <v>2</v>
      </c>
    </row>
    <row r="76">
      <c r="B76" t="str">
        <v>Nắp bịt đố động AP55</v>
      </c>
      <c r="C76" t="str">
        <v>AP55-BDD</v>
      </c>
      <c r="D76" t="str">
        <v>Cặp</v>
      </c>
      <c r="E76">
        <f>H76*$H$5</f>
        <v>1</v>
      </c>
      <c r="H76">
        <v>1</v>
      </c>
    </row>
    <row r="77">
      <c r="B77" t="str">
        <v>Ke nhảy khung mở quay AP55</v>
      </c>
      <c r="C77" t="str">
        <v>AP55-KNK</v>
      </c>
      <c r="D77" t="str">
        <v>Chiếc</v>
      </c>
      <c r="E77">
        <f>H77*$H$5</f>
        <v>4</v>
      </c>
      <c r="H77">
        <v>4</v>
      </c>
    </row>
    <row r="78">
      <c r="B78" t="str">
        <v>Ke nhảy cánh sổ mở quay AP55</v>
      </c>
      <c r="C78" t="str">
        <v>AP55-SKNC</v>
      </c>
      <c r="D78" t="str">
        <v>Chiếc</v>
      </c>
      <c r="E78">
        <f>H78*$H$5*3</f>
        <v>12</v>
      </c>
      <c r="H78">
        <v>4</v>
      </c>
    </row>
    <row r="79">
      <c r="B79" t="str">
        <v>Ke tăng cứng AP55</v>
      </c>
      <c r="C79" t="str">
        <v>AP55-KTC</v>
      </c>
      <c r="D79" t="str">
        <v>Chiếc</v>
      </c>
      <c r="E79">
        <f>H79*$H$5*3</f>
        <v>12</v>
      </c>
      <c r="H79">
        <v>4</v>
      </c>
    </row>
    <row r="82">
      <c r="B82" t="str">
        <v>BẢNG TÍNH GIÁ THÀNH</v>
      </c>
    </row>
    <row r="83">
      <c r="B83" t="str">
        <v>Tên gọi</v>
      </c>
      <c r="C83" t="str">
        <v>Đơn vị tính</v>
      </c>
      <c r="D83" t="str">
        <v>Số lượng</v>
      </c>
      <c r="E83" t="str">
        <v>Đơn giá</v>
      </c>
      <c r="F83" t="str">
        <v>Thành tiền</v>
      </c>
    </row>
    <row r="84">
      <c r="B84" t="str">
        <v>Nhôm (VNĐ)</v>
      </c>
      <c r="C84" t="str">
        <v>Kg</v>
      </c>
      <c r="D84">
        <f>SUM(I46:I57)</f>
        <v>18.907134999999997</v>
      </c>
      <c r="E84">
        <f>C11</f>
        <v>90000</v>
      </c>
      <c r="F84">
        <f>E84*D84</f>
        <v>1701642.1499999997</v>
      </c>
    </row>
    <row r="85">
      <c r="B85" t="str">
        <v>Kính (VNĐ)</v>
      </c>
      <c r="C85" t="str">
        <v>m2</v>
      </c>
      <c r="D85">
        <f>SUM(F62:F65)</f>
        <v>2.374682</v>
      </c>
      <c r="E85">
        <f>C12</f>
        <v>245000</v>
      </c>
      <c r="F85">
        <f>E85*D85</f>
        <v>581797.09</v>
      </c>
    </row>
    <row r="86">
      <c r="B86" t="str">
        <v>Phụ Kiện (tự nhập) (VNĐ)</v>
      </c>
    </row>
    <row r="87">
      <c r="B87" t="str">
        <v>Vật Tư Phụ (tự nhập) (VNĐ)</v>
      </c>
    </row>
    <row r="88">
      <c r="B88" t="str">
        <v>Công Sản Xuất + Lắp Đặt (VNĐ)</v>
      </c>
    </row>
    <row r="89">
      <c r="B89" t="str">
        <v>Tổng (chưa tính hao hụt nhôm)</v>
      </c>
      <c r="F89">
        <f>SUM(F84:F88)</f>
        <v>2283439.2399999998</v>
      </c>
    </row>
  </sheetData>
  <mergeCells count="2">
    <mergeCell ref="B2:G2"/>
    <mergeCell ref="B44:G44"/>
  </mergeCells>
  <pageMargins left="0.7" right="0.7" top="0.75" bottom="0.75" header="0.3" footer="0.3"/>
  <ignoredErrors>
    <ignoredError numberStoredAsText="1" sqref="A1:J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B60</v>
      </c>
      <c r="D2" t="str">
        <v>B68</v>
      </c>
      <c r="E2" t="str">
        <v>B82</v>
      </c>
    </row>
    <row r="3">
      <c r="A3" t="str">
        <v>C12</v>
      </c>
      <c r="B3" t="str">
        <v>G57</v>
      </c>
      <c r="C3" t="str">
        <v>G65</v>
      </c>
      <c r="D3" t="str">
        <v>E79</v>
      </c>
      <c r="E3" t="str">
        <v>F89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F89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CSMQ2C (2)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2021-04-09T15:20:42Z</dcterms:modified>
  <cp:lastModifiedBy>ACER</cp:lastModifiedBy>
  <cp:lastPrinted>2014-12-05T03:23:20Z</cp:lastPrinted>
  <dc:creator>Windows User</dc:creator>
</cp:coreProperties>
</file>