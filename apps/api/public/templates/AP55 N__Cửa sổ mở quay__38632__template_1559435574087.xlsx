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Data>
    <row r="2">
      <c r="B2" t="str">
        <v>BẢN VẼ SẢN XUẤT AP55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2 Cửa sổ mở quay 2 cánh + Vách</v>
      </c>
    </row>
    <row r="5">
      <c r="B5" t="str">
        <v>Rộng Cửa (B) (mm)</v>
      </c>
      <c r="C5">
        <v>2300</v>
      </c>
      <c r="F5" t="str">
        <v>Giá kính (VNĐ/m2)</v>
      </c>
      <c r="G5">
        <v>245000</v>
      </c>
      <c r="H5">
        <f>C9</f>
        <v>1</v>
      </c>
      <c r="I5">
        <f>C12</f>
        <v>4.14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H1 (mm)</v>
      </c>
      <c r="C7">
        <v>1500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10</v>
      </c>
    </row>
    <row r="12">
      <c r="B12" t="str">
        <v>Diện tích/bộ</v>
      </c>
      <c r="C12">
        <f>C5*C6/10^6</f>
        <v>4.14</v>
      </c>
      <c r="F12" t="str">
        <v>(7)-Khe hở kính</v>
      </c>
      <c r="G12">
        <v>10</v>
      </c>
    </row>
    <row r="13">
      <c r="B13" t="str">
        <v>Tổng diện tích</v>
      </c>
      <c r="C13">
        <f>C12*C9</f>
        <v>4.14</v>
      </c>
      <c r="F13" t="str">
        <v>(8)-Cao khung mở quay (tính cánh)</v>
      </c>
      <c r="G13">
        <v>31</v>
      </c>
    </row>
    <row r="14">
      <c r="E14">
        <f>C5</f>
        <v>2300</v>
      </c>
      <c r="F14" t="str">
        <v>(9)-Cao khung mở quay (tính đố)</v>
      </c>
      <c r="G14">
        <v>20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kính, nẹp)</v>
      </c>
      <c r="G17">
        <v>70</v>
      </c>
    </row>
    <row r="18">
      <c r="F18" t="str">
        <v>(13)-Cao cánh cửa đi (tính đố cánh)</v>
      </c>
      <c r="G18">
        <v>77</v>
      </c>
    </row>
    <row r="19">
      <c r="F19" t="str">
        <v>(14)-Cao đố cánh cửa đi</v>
      </c>
      <c r="G19">
        <v>24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72</v>
      </c>
    </row>
    <row r="24">
      <c r="F24" t="str">
        <v>(19)-Cao cánh cửa trượt (tính kính)</v>
      </c>
      <c r="G24">
        <v>58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AP55- Khung cửa mở quay (kg/m)</v>
      </c>
      <c r="G27">
        <v>0.625</v>
      </c>
    </row>
    <row r="28">
      <c r="F28" t="str">
        <v>AP55- Đố chia khung (kg/m)</v>
      </c>
      <c r="G28">
        <v>0.792</v>
      </c>
    </row>
    <row r="29">
      <c r="F29" t="str">
        <v>AP55- Cánh cửa sổ quay (kg/m)</v>
      </c>
      <c r="G29">
        <v>0.725</v>
      </c>
    </row>
    <row r="30">
      <c r="F30" t="str">
        <v>AP55- Cánh cửa đi (kg/m)</v>
      </c>
      <c r="G30">
        <v>0.903</v>
      </c>
    </row>
    <row r="31">
      <c r="F31" t="str">
        <v>AP55- Đố cánh cửa đi (kg/m)</v>
      </c>
      <c r="G31">
        <v>0.667</v>
      </c>
    </row>
    <row r="32">
      <c r="F32" t="str">
        <v>AP55- Đố động (kg/m)</v>
      </c>
      <c r="G32">
        <v>0.57</v>
      </c>
    </row>
    <row r="33">
      <c r="F33" t="str">
        <v>AP55- Ốp đáy (kg/m)</v>
      </c>
      <c r="G33">
        <v>0.125</v>
      </c>
    </row>
    <row r="34">
      <c r="F34" t="str">
        <v>AP55- Nẹp vách (kg/m)</v>
      </c>
      <c r="G34">
        <v>0.225</v>
      </c>
    </row>
    <row r="35">
      <c r="F35" t="str">
        <v>AP55- Nối khung (kg/m)</v>
      </c>
      <c r="G35">
        <v>0.347</v>
      </c>
    </row>
    <row r="36">
      <c r="F36" t="str">
        <v>AP55- Khung cửa trượt (kg/m)</v>
      </c>
      <c r="G36">
        <v>0.713</v>
      </c>
    </row>
    <row r="37">
      <c r="F37" t="str">
        <v>AP55- Cánh cửa trượt (kg/m)</v>
      </c>
      <c r="G37">
        <v>0.678</v>
      </c>
    </row>
    <row r="38">
      <c r="F38" t="str">
        <v>AP55- Móc cánh cửa trượt (kg/m)</v>
      </c>
      <c r="G38">
        <v>0.292</v>
      </c>
    </row>
    <row r="39">
      <c r="F39" t="str">
        <v>AP55- Hèm đối đầu (kg/m)</v>
      </c>
      <c r="G39">
        <v>0.358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AP55- Khung cửa mở quay</v>
      </c>
      <c r="C46" t="str">
        <v>Ngang</v>
      </c>
      <c r="D46" t="str">
        <v>AP5501</v>
      </c>
      <c r="E46" t="str">
        <v>45-45</v>
      </c>
      <c r="F46">
        <f>$C$9*J46</f>
        <v>2</v>
      </c>
      <c r="G46">
        <f>C5</f>
        <v>2300</v>
      </c>
      <c r="H46">
        <f>$G$27</f>
        <v>0.625</v>
      </c>
      <c r="I46">
        <f>F46*G46*H46/1000</f>
        <v>2.875</v>
      </c>
      <c r="J46">
        <v>2</v>
      </c>
    </row>
    <row r="47">
      <c r="B47" t="str">
        <v>AP55- Khung cửa mở quay</v>
      </c>
      <c r="C47" t="str">
        <v>Đứng</v>
      </c>
      <c r="D47" t="str">
        <v>AP5501</v>
      </c>
      <c r="E47" t="str">
        <v>45-45</v>
      </c>
      <c r="F47">
        <f>$C$9*J47</f>
        <v>2</v>
      </c>
      <c r="G47">
        <f>C6</f>
        <v>1800</v>
      </c>
      <c r="H47">
        <f>$G$27</f>
        <v>0.625</v>
      </c>
      <c r="I47">
        <f>F47*G47*H47/1000</f>
        <v>2.25</v>
      </c>
      <c r="J47">
        <v>2</v>
      </c>
    </row>
    <row r="48">
      <c r="B48" t="str">
        <v>AP55- Đố chia khung</v>
      </c>
      <c r="C48" t="str">
        <v>Đứng</v>
      </c>
      <c r="D48" t="str">
        <v>AP5508</v>
      </c>
      <c r="E48" t="str">
        <v>90-90</v>
      </c>
      <c r="F48">
        <f>$C$9*J48</f>
        <v>1</v>
      </c>
      <c r="G48">
        <f>G47-G14*2</f>
        <v>1760</v>
      </c>
      <c r="H48">
        <f>$G$28</f>
        <v>0.792</v>
      </c>
      <c r="I48">
        <f>F48*G48*H48/1000</f>
        <v>1.39392</v>
      </c>
      <c r="J48">
        <v>1</v>
      </c>
    </row>
    <row r="49">
      <c r="B49" t="str">
        <v>AP55- Đố chia khung</v>
      </c>
      <c r="C49" t="str">
        <v>Ngang</v>
      </c>
      <c r="D49" t="str">
        <v>AP5508</v>
      </c>
      <c r="E49" t="str">
        <v>90-90</v>
      </c>
      <c r="F49">
        <f>$C$9*J49</f>
        <v>2</v>
      </c>
      <c r="G49">
        <f>C5/2-G14-G16/2</f>
        <v>1122.5</v>
      </c>
      <c r="H49">
        <f>$G$28</f>
        <v>0.792</v>
      </c>
      <c r="I49">
        <f>F49*G49*H49/1000</f>
        <v>1.7780400000000003</v>
      </c>
      <c r="J49">
        <v>2</v>
      </c>
    </row>
    <row r="50">
      <c r="B50" t="str">
        <v>AP55- Cánh cửa sổ quay</v>
      </c>
      <c r="C50" t="str">
        <v>Ngang</v>
      </c>
      <c r="D50" t="str">
        <v>AP5502</v>
      </c>
      <c r="E50" t="str">
        <v>45-45</v>
      </c>
      <c r="F50">
        <f>$C$9*J50</f>
        <v>8</v>
      </c>
      <c r="G50">
        <f>(C5/2-G13-G15/2+G7*2-G10)/2</f>
        <v>554.75</v>
      </c>
      <c r="H50">
        <f>$G$29</f>
        <v>0.725</v>
      </c>
      <c r="I50">
        <f>F50*G50*H50/1000</f>
        <v>3.2175499999999997</v>
      </c>
      <c r="J50">
        <v>8</v>
      </c>
    </row>
    <row r="51">
      <c r="B51" t="str">
        <v>AP55- Cánh cửa sổ quay</v>
      </c>
      <c r="C51" t="str">
        <v>Đứng</v>
      </c>
      <c r="D51" t="str">
        <v>AP5502</v>
      </c>
      <c r="E51" t="str">
        <v>45-45</v>
      </c>
      <c r="F51">
        <f>$C$9*J51</f>
        <v>8</v>
      </c>
      <c r="G51">
        <f>C7-G13-G15/2+G7*2</f>
        <v>1464.5</v>
      </c>
      <c r="H51">
        <f>$G$29</f>
        <v>0.725</v>
      </c>
      <c r="I51">
        <f>F51*G51*H51/1000</f>
        <v>8.4941</v>
      </c>
      <c r="J51">
        <v>8</v>
      </c>
    </row>
    <row r="52">
      <c r="B52" t="str">
        <v>AP55- Đố động</v>
      </c>
      <c r="C52" t="str">
        <v>Đứng</v>
      </c>
      <c r="D52" t="str">
        <v>AP5510</v>
      </c>
      <c r="E52" t="str">
        <v>90-90</v>
      </c>
      <c r="F52">
        <f>$C$9*J52</f>
        <v>2</v>
      </c>
      <c r="G52">
        <f>G51-G21*2</f>
        <v>1426.5</v>
      </c>
      <c r="H52">
        <f>$G$32</f>
        <v>0.57</v>
      </c>
      <c r="I52">
        <f>F52*G52*H52/1000</f>
        <v>1.6262099999999997</v>
      </c>
      <c r="J52">
        <v>2</v>
      </c>
    </row>
    <row r="53">
      <c r="B53" t="str">
        <v>AP55- Nẹp vách</v>
      </c>
      <c r="C53" t="str">
        <v>Ngang</v>
      </c>
      <c r="D53" t="str">
        <v>AP5518</v>
      </c>
      <c r="E53" t="str">
        <v>90-90</v>
      </c>
      <c r="F53">
        <f>$C$9*J53</f>
        <v>4</v>
      </c>
      <c r="G53">
        <f>C5/2-G13-G15/2</f>
        <v>1100.5</v>
      </c>
      <c r="H53">
        <f>$G$34</f>
        <v>0.225</v>
      </c>
      <c r="I53">
        <f>F53*G53*H53/1000</f>
        <v>0.99045</v>
      </c>
      <c r="J53">
        <v>4</v>
      </c>
    </row>
    <row r="54">
      <c r="B54" t="str">
        <v>AP55- Nẹp vách</v>
      </c>
      <c r="C54" t="str">
        <v>Đứng</v>
      </c>
      <c r="D54" t="str">
        <v>AP5518</v>
      </c>
      <c r="E54" t="str">
        <v>90-90</v>
      </c>
      <c r="F54">
        <f>$C$9*J54</f>
        <v>4</v>
      </c>
      <c r="G54">
        <f>G47-C7-G13-G15/2-G21*2</f>
        <v>212.5</v>
      </c>
      <c r="H54">
        <f>$G$34</f>
        <v>0.225</v>
      </c>
      <c r="I54">
        <f>F54*G54*H54/1000</f>
        <v>0.19125</v>
      </c>
      <c r="J54">
        <v>4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C8</f>
        <v>6</v>
      </c>
      <c r="C59">
        <f>G50-G20*2-G12</f>
        <v>436.75</v>
      </c>
      <c r="D59">
        <f>G51-G20*2-G12</f>
        <v>1346.5</v>
      </c>
      <c r="E59">
        <f>4*C9</f>
        <v>4</v>
      </c>
      <c r="F59">
        <f>E59*D59*C59/10^6</f>
        <v>2.3523355</v>
      </c>
      <c r="G59" t="str">
        <v>cánh</v>
      </c>
    </row>
    <row r="60">
      <c r="B60">
        <f>C8</f>
        <v>6</v>
      </c>
      <c r="C60">
        <f>C5/2-G13-G15/2-G12</f>
        <v>1090.5</v>
      </c>
      <c r="D60">
        <f>G47-C7-G13-G15/2-G12</f>
        <v>240.5</v>
      </c>
      <c r="E60">
        <f>2*C9</f>
        <v>2</v>
      </c>
      <c r="F60">
        <f>E60*D60*C60/10^6</f>
        <v>0.5245305</v>
      </c>
      <c r="G60" t="str">
        <v>vách</v>
      </c>
    </row>
    <row r="63">
      <c r="B63" t="str">
        <v>PHỤ KIỆN</v>
      </c>
      <c r="C63" t="str">
        <v>sổ 1 cánh</v>
      </c>
    </row>
    <row r="64">
      <c r="B64" t="str">
        <v>Tên</v>
      </c>
      <c r="C64" t="str">
        <v>Mã</v>
      </c>
      <c r="D64" t="str">
        <v>ĐVT</v>
      </c>
      <c r="E64" t="str">
        <v>Số lượng</v>
      </c>
      <c r="H64" t="str">
        <v>SL/Bộ</v>
      </c>
    </row>
    <row r="65">
      <c r="B65" t="str">
        <v>Bản lề cửa sổ AP55</v>
      </c>
      <c r="C65" t="str">
        <v>AP55-SBL</v>
      </c>
      <c r="D65" t="str">
        <v>Chiếc</v>
      </c>
      <c r="E65">
        <f>H65*$H$5</f>
        <v>8</v>
      </c>
      <c r="H65">
        <v>8</v>
      </c>
    </row>
    <row r="66">
      <c r="B66" t="str">
        <v>Tay nắm cửa sổ mở quay AP55</v>
      </c>
      <c r="C66" t="str">
        <v>AP55-STN</v>
      </c>
      <c r="D66" t="str">
        <v>Chiếc</v>
      </c>
      <c r="E66">
        <f>H66*$H$5</f>
        <v>2</v>
      </c>
      <c r="H66">
        <v>2</v>
      </c>
    </row>
    <row r="67">
      <c r="B67" t="str">
        <v>Thanh chuyển động AP55</v>
      </c>
      <c r="C67" t="str">
        <v>AP55-STCD</v>
      </c>
      <c r="D67" t="str">
        <v>Thanh</v>
      </c>
      <c r="E67">
        <f>H67*$H$5</f>
        <v>2</v>
      </c>
      <c r="H67">
        <v>2</v>
      </c>
    </row>
    <row r="68">
      <c r="B68" t="str">
        <v>Vấu 2 cánh cửa sổ AP55</v>
      </c>
      <c r="C68" t="str">
        <v>AP55-SV2C</v>
      </c>
      <c r="D68" t="str">
        <v>Chiếc</v>
      </c>
      <c r="E68">
        <f>H68*$H$5</f>
        <v>4</v>
      </c>
      <c r="H68">
        <v>4</v>
      </c>
    </row>
    <row r="69">
      <c r="B69" t="str">
        <v>Chốt cánh phụ cửa sổ AP55</v>
      </c>
      <c r="C69" t="str">
        <v>AP55-SCCP</v>
      </c>
      <c r="D69" t="str">
        <v>Chiếc</v>
      </c>
      <c r="E69">
        <f>H69*$H$5</f>
        <v>4</v>
      </c>
      <c r="H69">
        <v>4</v>
      </c>
    </row>
    <row r="70">
      <c r="B70" t="str">
        <v>Nắp bịt đố động AP55</v>
      </c>
      <c r="C70" t="str">
        <v>AP55-BDD</v>
      </c>
      <c r="D70" t="str">
        <v>Cặp</v>
      </c>
      <c r="E70">
        <f>H70*$H$5</f>
        <v>2</v>
      </c>
      <c r="H70">
        <v>2</v>
      </c>
    </row>
    <row r="71">
      <c r="B71" t="str">
        <v>Ke nhảy khung mở quay AP55</v>
      </c>
      <c r="C71" t="str">
        <v>AP55-KNK</v>
      </c>
      <c r="D71" t="str">
        <v>Chiếc</v>
      </c>
      <c r="E71">
        <f>H71*$H$5</f>
        <v>4</v>
      </c>
      <c r="H71">
        <v>4</v>
      </c>
    </row>
    <row r="72">
      <c r="B72" t="str">
        <v>Ke nhảy cánh sổ mở quay AP55</v>
      </c>
      <c r="C72" t="str">
        <v>AP55-SKNC</v>
      </c>
      <c r="D72" t="str">
        <v>Chiếc</v>
      </c>
      <c r="E72">
        <f>H72*$H$5*4</f>
        <v>16</v>
      </c>
      <c r="H72">
        <v>4</v>
      </c>
    </row>
    <row r="73">
      <c r="B73" t="str">
        <v>Ke tăng cứng AP55</v>
      </c>
      <c r="C73" t="str">
        <v>AP55-KTC</v>
      </c>
      <c r="D73" t="str">
        <v>Chiếc</v>
      </c>
      <c r="E73">
        <f>H73*$H$5*4</f>
        <v>16</v>
      </c>
      <c r="H73">
        <v>4</v>
      </c>
    </row>
    <row r="76">
      <c r="B76" t="str">
        <v>BẢNG TÍNH GIÁ THÀNH</v>
      </c>
    </row>
    <row r="77">
      <c r="B77" t="str">
        <v>Tên gọi</v>
      </c>
      <c r="C77" t="str">
        <v>Đơn vị tính</v>
      </c>
      <c r="D77" t="str">
        <v>Số lượng</v>
      </c>
      <c r="E77" t="str">
        <v>Đơn giá</v>
      </c>
      <c r="F77" t="str">
        <v>Thành tiền</v>
      </c>
    </row>
    <row r="78">
      <c r="B78" t="str">
        <v>Nhôm (VNĐ)</v>
      </c>
      <c r="C78" t="str">
        <v>Kg</v>
      </c>
      <c r="D78">
        <f>SUM(I46:I54)</f>
        <v>22.816519999999997</v>
      </c>
      <c r="E78">
        <f>C10</f>
        <v>90000</v>
      </c>
      <c r="F78">
        <f>E78*D78</f>
        <v>2053486.7999999998</v>
      </c>
    </row>
    <row r="79">
      <c r="B79" t="str">
        <v>Kính (VNĐ)</v>
      </c>
      <c r="C79" t="str">
        <v>m2</v>
      </c>
      <c r="D79">
        <f>SUM(F59:F60)</f>
        <v>2.876866</v>
      </c>
      <c r="E79">
        <f>C11</f>
        <v>245000</v>
      </c>
      <c r="F79">
        <f>E79*D79</f>
        <v>704832.17</v>
      </c>
    </row>
    <row r="80">
      <c r="B80" t="str">
        <v>Phụ Kiện (tự nhập) (VNĐ)</v>
      </c>
    </row>
    <row r="81">
      <c r="B81" t="str">
        <v>Vật Tư Phụ (tự nhập) (VNĐ)</v>
      </c>
    </row>
    <row r="82">
      <c r="B82" t="str">
        <v>Công Sản Xuất + Lắp Đặt (VNĐ)</v>
      </c>
    </row>
    <row r="83">
      <c r="B83" t="str">
        <v>Tổng (chưa tính hao hụt nhôm)</v>
      </c>
      <c r="F83">
        <f>SUM(F78:F82)</f>
        <v>2758318.9699999997</v>
      </c>
    </row>
  </sheetData>
  <mergeCells count="1">
    <mergeCell ref="B2:G2"/>
  </mergeCells>
  <pageMargins left="0.7" right="0.7" top="0.75" bottom="0.75" header="0.3" footer="0.3"/>
  <ignoredErrors>
    <ignoredError numberStoredAsText="1" sqref="A1:J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B63</v>
      </c>
      <c r="E2" t="str">
        <v>B76</v>
      </c>
    </row>
    <row r="3">
      <c r="A3" t="str">
        <v>C11</v>
      </c>
      <c r="B3" t="str">
        <v>G54</v>
      </c>
      <c r="C3" t="str">
        <v>G60</v>
      </c>
      <c r="D3" t="str">
        <v>E73</v>
      </c>
      <c r="E3" t="str">
        <v>F83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2019-05-30T09:20:39Z</dcterms:modified>
  <cp:lastModifiedBy>CUONG</cp:lastModifiedBy>
  <cp:lastPrinted>2014-12-05T03:23:20Z</cp:lastPrinted>
  <dc:creator>Windows User</dc:creator>
</cp:coreProperties>
</file>