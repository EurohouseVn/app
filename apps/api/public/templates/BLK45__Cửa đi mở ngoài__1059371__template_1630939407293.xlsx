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CDMQ2C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workbookViewId="0"/>
  </sheetViews>
  <sheetData>
    <row r="2">
      <c r="B2" t="str">
        <v>BẢN VẼ SẢN XUẤT BLK45OVN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D1</v>
      </c>
      <c r="F4" t="str">
        <v>Giá nhôm (VNĐ/Kg)</v>
      </c>
      <c r="G4">
        <v>90000</v>
      </c>
      <c r="H4" t="str">
        <v>Cửa đi mở quay 4 cánh</v>
      </c>
    </row>
    <row r="5">
      <c r="B5" t="str">
        <v>Rộng Cửa (B) (mm)</v>
      </c>
      <c r="C5">
        <v>2800</v>
      </c>
      <c r="F5" t="str">
        <v>Giá kính (VNĐ/m2)</v>
      </c>
      <c r="G5">
        <v>245000</v>
      </c>
      <c r="H5">
        <f>C9</f>
        <v>1</v>
      </c>
      <c r="I5">
        <f>C12</f>
        <v>6.16</v>
      </c>
    </row>
    <row r="6">
      <c r="B6" t="str">
        <v>Cao Cửa (H) (mm)</v>
      </c>
      <c r="C6">
        <v>2200</v>
      </c>
      <c r="E6">
        <v>6</v>
      </c>
      <c r="F6" t="str">
        <v>(1)-Cánh cửa đi ngậm khung</v>
      </c>
      <c r="G6">
        <v>7</v>
      </c>
    </row>
    <row r="7">
      <c r="B7" t="str">
        <v>Hở chân cánh (mm)</v>
      </c>
      <c r="C7">
        <v>7</v>
      </c>
      <c r="E7">
        <v>6</v>
      </c>
      <c r="F7" t="str">
        <v>(2)-Cánh cửa sổ ngậm khung</v>
      </c>
      <c r="G7">
        <v>7</v>
      </c>
    </row>
    <row r="8">
      <c r="B8" t="str">
        <v>Loại kính</v>
      </c>
      <c r="C8">
        <v>6</v>
      </c>
      <c r="E8">
        <v>5</v>
      </c>
      <c r="F8" t="str">
        <v>(3)-Khe hở giữa cửa đi 2 (4) cánh</v>
      </c>
      <c r="G8">
        <v>5</v>
      </c>
    </row>
    <row r="9">
      <c r="B9" t="str">
        <v>Số bộ</v>
      </c>
      <c r="C9">
        <v>1</v>
      </c>
      <c r="E9">
        <v>5</v>
      </c>
      <c r="F9" t="str">
        <v>(4)-Khe hở cánh cửa đi 4 cánh</v>
      </c>
      <c r="G9">
        <v>5</v>
      </c>
    </row>
    <row r="10">
      <c r="B10" t="str">
        <v>Giá nhôm (VNĐ/Kg)</v>
      </c>
      <c r="C10">
        <v>105000</v>
      </c>
      <c r="E10">
        <v>5</v>
      </c>
      <c r="F10" t="str">
        <v>(5)-Khe hở giữa cửa sổ 2 cánh</v>
      </c>
      <c r="G10">
        <v>5</v>
      </c>
    </row>
    <row r="11">
      <c r="B11" t="str">
        <v>Giá kính (VNĐ/m2)</v>
      </c>
      <c r="C11">
        <v>245000</v>
      </c>
      <c r="E11">
        <v>0</v>
      </c>
      <c r="F11" t="str">
        <v>(6)-Cánh cửa trượt ngậm khung</v>
      </c>
      <c r="G11">
        <v>9.5</v>
      </c>
    </row>
    <row r="12">
      <c r="B12" t="str">
        <v>Diện tích/bộ</v>
      </c>
      <c r="C12">
        <f>C5*C6/10^6</f>
        <v>6.16</v>
      </c>
      <c r="E12">
        <v>8</v>
      </c>
      <c r="F12" t="str">
        <v>(7)-Khe hở kính</v>
      </c>
      <c r="G12">
        <v>9</v>
      </c>
    </row>
    <row r="13">
      <c r="B13" t="str">
        <v>Tổng diện tích</v>
      </c>
      <c r="C13">
        <f>C12*C9</f>
        <v>6.16</v>
      </c>
      <c r="E13">
        <v>47</v>
      </c>
      <c r="F13" t="str">
        <v>(8)-Cao khung mở quay (tính cánh)</v>
      </c>
      <c r="G13">
        <v>26</v>
      </c>
    </row>
    <row r="14">
      <c r="E14">
        <v>36</v>
      </c>
      <c r="F14" t="str">
        <v>(9)-Cao khung mở quay (tính đố)</v>
      </c>
      <c r="G14">
        <v>21</v>
      </c>
    </row>
    <row r="15">
      <c r="E15">
        <v>38</v>
      </c>
      <c r="F15" t="str">
        <v>(10)-Cao đố chia vách (tính cánh)</v>
      </c>
      <c r="G15">
        <v>22</v>
      </c>
    </row>
    <row r="16">
      <c r="E16">
        <v>27</v>
      </c>
      <c r="F16" t="str">
        <v>(11)-Cao đố chia vách (tính đố)</v>
      </c>
      <c r="G16">
        <v>12</v>
      </c>
    </row>
    <row r="17">
      <c r="E17">
        <v>37</v>
      </c>
      <c r="F17" t="str">
        <v>(12)-Cao cánh cửa đi (tính kính)</v>
      </c>
      <c r="G17">
        <v>52</v>
      </c>
    </row>
    <row r="18">
      <c r="E18">
        <v>15</v>
      </c>
      <c r="F18" t="str">
        <v>(13)-Cao cánh cửa đi (tính đố cánh)</v>
      </c>
      <c r="G18">
        <v>53</v>
      </c>
    </row>
    <row r="19">
      <c r="E19">
        <v>91</v>
      </c>
      <c r="F19" t="str">
        <v>(14)-Cao đố cánh cửa đi</v>
      </c>
      <c r="G19">
        <v>30</v>
      </c>
    </row>
    <row r="20">
      <c r="E20">
        <v>86</v>
      </c>
      <c r="F20" t="str">
        <v>(15)-Cao cánh cửa sổ (tính kính)</v>
      </c>
      <c r="G20">
        <v>52</v>
      </c>
    </row>
    <row r="21">
      <c r="E21">
        <v>30</v>
      </c>
      <c r="F21" t="str">
        <v>(16)-Cao nẹp (tính nẹp vách)</v>
      </c>
      <c r="G21">
        <v>19</v>
      </c>
    </row>
    <row r="22">
      <c r="E22">
        <v>57</v>
      </c>
      <c r="F22" t="str">
        <v>(17)-Cao khung cửa trượt</v>
      </c>
      <c r="G22">
        <v>40</v>
      </c>
    </row>
    <row r="23">
      <c r="E23">
        <v>19</v>
      </c>
      <c r="F23" t="str">
        <v>(18)-Cao cánh cửa trượt (tính cánh)</v>
      </c>
      <c r="G23">
        <v>60</v>
      </c>
      <c r="H23">
        <v>26</v>
      </c>
    </row>
    <row r="24">
      <c r="E24">
        <v>126</v>
      </c>
      <c r="F24" t="str">
        <v>(19)-Cao cánh cửa trượt (tính kính)</v>
      </c>
      <c r="G24">
        <v>46</v>
      </c>
    </row>
    <row r="25">
      <c r="E25">
        <v>0</v>
      </c>
      <c r="F25" t="str">
        <v>(20)-Chiều dày hèm đối đầu cửa trượt</v>
      </c>
      <c r="G25">
        <v>2</v>
      </c>
    </row>
    <row r="26">
      <c r="E26">
        <v>0</v>
      </c>
      <c r="F26" t="str">
        <v>(21)-Chiều dày thanh nối khung</v>
      </c>
      <c r="G26">
        <v>2</v>
      </c>
    </row>
    <row r="27">
      <c r="E27">
        <v>0</v>
      </c>
      <c r="F27" t="str">
        <v>Khung cửa mở quay (kg/m)</v>
      </c>
      <c r="G27">
        <v>0.47</v>
      </c>
    </row>
    <row r="28">
      <c r="E28">
        <v>2</v>
      </c>
      <c r="F28" t="str">
        <v>Đố chia khung (kg/m)</v>
      </c>
      <c r="G28">
        <v>0.477</v>
      </c>
    </row>
    <row r="29">
      <c r="E29">
        <v>32</v>
      </c>
      <c r="F29" t="str">
        <v>Cánh cửa sổ quay (kg/m)</v>
      </c>
      <c r="G29">
        <v>0.625</v>
      </c>
    </row>
    <row r="30">
      <c r="E30">
        <v>19</v>
      </c>
      <c r="F30" t="str">
        <v>Cánh đi mở quay (kg/m)</v>
      </c>
      <c r="G30">
        <v>0.625</v>
      </c>
    </row>
    <row r="31">
      <c r="E31">
        <v>0.34</v>
      </c>
      <c r="F31" t="str">
        <v>Đố cánh cửa đi (kg/m)</v>
      </c>
      <c r="G31">
        <v>0.75</v>
      </c>
      <c r="H31" t="str">
        <v>(22)-Cao gân cánh ĐI 55 (tính kính)</v>
      </c>
      <c r="I31">
        <v>0</v>
      </c>
    </row>
    <row r="32">
      <c r="E32">
        <v>1.215</v>
      </c>
      <c r="F32" t="str">
        <v>Đố động (kg/m)</v>
      </c>
      <c r="G32">
        <v>0.477</v>
      </c>
    </row>
    <row r="33">
      <c r="E33">
        <v>1.215</v>
      </c>
      <c r="F33" t="str">
        <v>Ốp đáy (kg/m)</v>
      </c>
      <c r="G33">
        <v>0.3</v>
      </c>
    </row>
    <row r="34">
      <c r="E34">
        <v>0.897</v>
      </c>
      <c r="F34" t="str">
        <v>Nẹp vách (kg/m)</v>
      </c>
      <c r="G34">
        <v>0.243</v>
      </c>
    </row>
    <row r="35">
      <c r="E35">
        <v>0.95</v>
      </c>
      <c r="F35" t="str">
        <v>Nối khung (kg/m)</v>
      </c>
      <c r="G35">
        <v>0.185</v>
      </c>
    </row>
    <row r="36">
      <c r="E36">
        <v>1.664</v>
      </c>
      <c r="F36" t="str">
        <v>Khung cửa trượt (kg/m)</v>
      </c>
      <c r="G36">
        <v>0.57</v>
      </c>
    </row>
    <row r="37">
      <c r="E37">
        <v>0.849</v>
      </c>
      <c r="F37" t="str">
        <v>Cánh cửa trượt (kg/m)</v>
      </c>
      <c r="G37">
        <v>0.539</v>
      </c>
    </row>
    <row r="38">
      <c r="E38">
        <v>0.806</v>
      </c>
      <c r="F38" t="str">
        <v>Móc cánh cửa trượt (kg/m)</v>
      </c>
      <c r="G38">
        <v>0.285</v>
      </c>
    </row>
    <row r="39">
      <c r="E39">
        <v>1.637</v>
      </c>
      <c r="F39" t="str">
        <v>Hèm đối đầu (kg/m)</v>
      </c>
      <c r="G39">
        <v>0.3</v>
      </c>
    </row>
    <row r="40">
      <c r="E40">
        <v>0.272</v>
      </c>
      <c r="F40" t="str">
        <v>(22)-Tính đố động= cánh trừ</v>
      </c>
      <c r="G40">
        <v>0</v>
      </c>
    </row>
    <row r="41">
      <c r="E41">
        <v>0.238</v>
      </c>
      <c r="F41" t="str">
        <v>(23)-Cửa trượt ngậm thêm khung</v>
      </c>
      <c r="G41">
        <v>0</v>
      </c>
    </row>
    <row r="42">
      <c r="E42">
        <v>0.348</v>
      </c>
      <c r="F42" t="str">
        <v>(24)-Tính hèm chân= cánh trừ</v>
      </c>
      <c r="G42">
        <v>19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mở quay bản 66</v>
      </c>
      <c r="C46" t="str">
        <v>Ngang trên</v>
      </c>
      <c r="D46" t="str">
        <v>C3328</v>
      </c>
      <c r="E46" t="str">
        <v>45-45</v>
      </c>
      <c r="F46">
        <f>$C$9*J46</f>
        <v>1</v>
      </c>
      <c r="G46">
        <f>C5</f>
        <v>2800</v>
      </c>
      <c r="H46">
        <f>$E$32</f>
        <v>1.215</v>
      </c>
      <c r="I46">
        <f>F46*G46*H46/1000</f>
        <v>3.402</v>
      </c>
      <c r="J46">
        <v>1</v>
      </c>
    </row>
    <row r="47">
      <c r="B47" t="str">
        <v>Khung mở quay bản 66</v>
      </c>
      <c r="C47" t="str">
        <v>Đứng</v>
      </c>
      <c r="D47" t="str">
        <v>C3328</v>
      </c>
      <c r="E47" t="str">
        <v>90-45-90</v>
      </c>
      <c r="F47">
        <f>$C$9*J47</f>
        <v>2</v>
      </c>
      <c r="G47">
        <f>C6</f>
        <v>2200</v>
      </c>
      <c r="H47">
        <f>$E$32</f>
        <v>1.215</v>
      </c>
      <c r="I47">
        <f>F47*G47*H47/1000</f>
        <v>5.346</v>
      </c>
      <c r="J47">
        <v>2</v>
      </c>
    </row>
    <row r="48">
      <c r="B48" t="str">
        <v>Cánh đi mở trong 110</v>
      </c>
      <c r="C48" t="str">
        <v>Ngang</v>
      </c>
      <c r="D48" t="str">
        <v>3332H</v>
      </c>
      <c r="E48" t="str">
        <v>45-45</v>
      </c>
      <c r="F48">
        <f>$C$9*J48</f>
        <v>4</v>
      </c>
      <c r="G48">
        <f>G46/4-E13/2+E6/2-E9/2-E8/4</f>
        <v>675.75</v>
      </c>
      <c r="H48">
        <f>$E$36</f>
        <v>1.664</v>
      </c>
      <c r="I48">
        <f>F48*G48*H48/1000</f>
        <v>4.497792</v>
      </c>
      <c r="J48">
        <v>4</v>
      </c>
    </row>
    <row r="49">
      <c r="B49" t="str">
        <v>Cánh đi mở trong 110</v>
      </c>
      <c r="C49" t="str">
        <v>Đứng</v>
      </c>
      <c r="D49" t="str">
        <v>3332H</v>
      </c>
      <c r="E49" t="str">
        <v>90-45-90</v>
      </c>
      <c r="F49">
        <f>$C$9*J49</f>
        <v>8</v>
      </c>
      <c r="G49">
        <f>G47-E13+E6-C7</f>
        <v>2152</v>
      </c>
      <c r="H49">
        <f>$E$36</f>
        <v>1.664</v>
      </c>
      <c r="I49">
        <f>F49*G49*H49/1000</f>
        <v>28.647423999999997</v>
      </c>
      <c r="J49">
        <v>8</v>
      </c>
    </row>
    <row r="50">
      <c r="B50" t="str">
        <v>Ngang dưới cánh cửa đi</v>
      </c>
      <c r="C50" t="str">
        <v>Đứng</v>
      </c>
      <c r="D50" t="str">
        <v>3304W</v>
      </c>
      <c r="E50" t="str">
        <v>90-90</v>
      </c>
      <c r="F50">
        <f>$C$9*J50</f>
        <v>4</v>
      </c>
      <c r="G50">
        <f>G48-$E$20*2</f>
        <v>503.75</v>
      </c>
      <c r="H50">
        <f>$E$39</f>
        <v>1.637</v>
      </c>
      <c r="I50">
        <f>F50*G50*H50/1000</f>
        <v>3.298555</v>
      </c>
      <c r="J50">
        <v>4</v>
      </c>
    </row>
    <row r="51">
      <c r="B51" t="str">
        <v>Nẹp cánh, vách</v>
      </c>
      <c r="C51" t="str">
        <v>Ngang</v>
      </c>
      <c r="D51" t="str">
        <v>C3295</v>
      </c>
      <c r="E51" t="str">
        <v>90-90</v>
      </c>
      <c r="F51">
        <f>$C$9*J51</f>
        <v>8</v>
      </c>
      <c r="G51">
        <f>G48-E19*2</f>
        <v>493.75</v>
      </c>
      <c r="H51">
        <f>$E$40</f>
        <v>0.272</v>
      </c>
      <c r="I51">
        <f>F51*G51*H51/1000</f>
        <v>1.0744</v>
      </c>
      <c r="J51">
        <v>8</v>
      </c>
    </row>
    <row r="52">
      <c r="B52" t="str">
        <v>Nẹp cánh, vách</v>
      </c>
      <c r="C52" t="str">
        <v>Đứng</v>
      </c>
      <c r="D52" t="str">
        <v>C3295</v>
      </c>
      <c r="E52" t="str">
        <v>90-90</v>
      </c>
      <c r="F52">
        <f>$C$9*J52</f>
        <v>8</v>
      </c>
      <c r="G52">
        <f>G49-E19-E24-E23*2</f>
        <v>1897</v>
      </c>
      <c r="H52">
        <f>$E$40</f>
        <v>0.272</v>
      </c>
      <c r="I52">
        <f>F52*G52*H52/1000</f>
        <v>4.127872</v>
      </c>
      <c r="J52">
        <v>8</v>
      </c>
    </row>
    <row r="53">
      <c r="B53" t="str">
        <v>Ốp đáy cánh cửa đi</v>
      </c>
      <c r="C53" t="str">
        <v>Ngang</v>
      </c>
      <c r="D53" t="str">
        <v>3329T</v>
      </c>
      <c r="E53" t="str">
        <v>90-90</v>
      </c>
      <c r="F53">
        <f>$C$9*J53</f>
        <v>4</v>
      </c>
      <c r="G53">
        <f>G48-E19*2</f>
        <v>493.75</v>
      </c>
      <c r="H53">
        <f>$E$31</f>
        <v>0.34</v>
      </c>
      <c r="I53">
        <f>F53*G53*H53/1000</f>
        <v>0.6715</v>
      </c>
      <c r="J53">
        <v>4</v>
      </c>
    </row>
    <row r="54">
      <c r="B54" t="str">
        <v>Đố động</v>
      </c>
      <c r="C54" t="str">
        <v>Đứng</v>
      </c>
      <c r="D54" t="str">
        <v>3323W</v>
      </c>
      <c r="E54" t="str">
        <v>90-90</v>
      </c>
      <c r="F54">
        <f>$C$9*J54</f>
        <v>3</v>
      </c>
      <c r="G54">
        <f>G49-E29</f>
        <v>2120</v>
      </c>
      <c r="H54">
        <f>$E$38</f>
        <v>0.806</v>
      </c>
      <c r="I54">
        <f>F54*G54*H54/1000</f>
        <v>5.1261600000000005</v>
      </c>
      <c r="J54">
        <v>3</v>
      </c>
    </row>
    <row r="57">
      <c r="B57" t="str">
        <v>KÍCH THƯỚC CẮT KÍNH</v>
      </c>
    </row>
    <row r="58">
      <c r="B58" t="str">
        <v>Tên kính</v>
      </c>
      <c r="C58" t="str">
        <v>Rộng</v>
      </c>
      <c r="D58" t="str">
        <v>Cao</v>
      </c>
      <c r="E58" t="str">
        <v>Số lượng</v>
      </c>
      <c r="F58" t="str">
        <v>Diện tích kính (m2)</v>
      </c>
      <c r="G58" t="str">
        <v>Vị trí</v>
      </c>
    </row>
    <row r="59">
      <c r="B59">
        <f>C8</f>
        <v>6</v>
      </c>
      <c r="C59">
        <f>G48-E19*2-I31*2-E12</f>
        <v>485.75</v>
      </c>
      <c r="D59">
        <f>G49-E19-E24-I31*2-E12</f>
        <v>1927</v>
      </c>
      <c r="E59">
        <f>4*C9</f>
        <v>4</v>
      </c>
      <c r="F59">
        <f>E59*D59*C59/10^6</f>
        <v>3.744161</v>
      </c>
      <c r="G59" t="str">
        <v>cánh</v>
      </c>
    </row>
    <row r="62">
      <c r="B62" t="str">
        <v>PHỤ KIỆN</v>
      </c>
      <c r="C62" t="str">
        <v>đi 4 cánh</v>
      </c>
    </row>
    <row r="63">
      <c r="B63" t="str">
        <v>Tên</v>
      </c>
      <c r="C63" t="str">
        <v>Mã</v>
      </c>
      <c r="D63" t="str">
        <v>ĐVT</v>
      </c>
      <c r="E63" t="str">
        <v>Số lượng</v>
      </c>
    </row>
    <row r="64">
      <c r="B64" t="str">
        <v>Bản lề cửa đi BLK45</v>
      </c>
      <c r="C64" t="str">
        <v>BLK45-DBL</v>
      </c>
      <c r="D64" t="str">
        <v>Chiếc</v>
      </c>
      <c r="E64">
        <f>H64*$H$5</f>
        <v>16</v>
      </c>
      <c r="H64">
        <v>16</v>
      </c>
    </row>
    <row r="65">
      <c r="B65" t="str">
        <v>Bộ khóa đa điểm cửa đi BLK45</v>
      </c>
      <c r="C65" t="str">
        <v>BLK45-DKDD</v>
      </c>
      <c r="D65" t="str">
        <v>Bộ</v>
      </c>
      <c r="E65">
        <f>H65*$H$5</f>
        <v>1</v>
      </c>
      <c r="H65">
        <v>1</v>
      </c>
    </row>
    <row r="66">
      <c r="B66" t="str">
        <v>Đầu khóa biên thấp cửa đi BLK45</v>
      </c>
      <c r="C66" t="str">
        <v>BLK45-DKBT</v>
      </c>
      <c r="D66" t="str">
        <v>Chiếc</v>
      </c>
      <c r="E66">
        <f>H66*$H$5</f>
        <v>2</v>
      </c>
      <c r="H66">
        <v>2</v>
      </c>
    </row>
    <row r="67">
      <c r="B67" t="str">
        <v>Vấu 2 cánh cửa đi BLK45</v>
      </c>
      <c r="C67" t="str">
        <v>BLK45-DV2C</v>
      </c>
      <c r="D67" t="str">
        <v>Chiếc</v>
      </c>
      <c r="E67">
        <f>H67*$H$5</f>
        <v>2</v>
      </c>
      <c r="H67">
        <v>2</v>
      </c>
    </row>
    <row r="68">
      <c r="B68" t="str">
        <v>Chốt cánh phụ 500 cửa đi BLK45</v>
      </c>
      <c r="C68" t="str">
        <v>BLK45-DC500</v>
      </c>
      <c r="D68" t="str">
        <v>Chiếc</v>
      </c>
      <c r="E68">
        <f>H68*$H$5</f>
        <v>3</v>
      </c>
      <c r="H68">
        <v>3</v>
      </c>
    </row>
    <row r="69">
      <c r="B69" t="str">
        <v>Chốt cánh phụ 220 cửa đi BLK45</v>
      </c>
      <c r="C69" t="str">
        <v>BLK45-DC220</v>
      </c>
      <c r="D69" t="str">
        <v>Chiếc</v>
      </c>
      <c r="E69">
        <f>H69*$H$5</f>
        <v>3</v>
      </c>
      <c r="H69">
        <v>3</v>
      </c>
    </row>
    <row r="70">
      <c r="B70" t="str">
        <v>Nắp bịt chân cánh cửa đi BLK45</v>
      </c>
      <c r="C70" t="str">
        <v>BLK45-DBC</v>
      </c>
      <c r="D70" t="str">
        <v>Cặp</v>
      </c>
      <c r="E70">
        <f>H70*$H$5</f>
        <v>2</v>
      </c>
      <c r="H70">
        <v>2</v>
      </c>
    </row>
    <row r="71">
      <c r="B71" t="str">
        <v>Nắp bịt đố động BLK45</v>
      </c>
      <c r="C71" t="str">
        <v>BLK45-BDD</v>
      </c>
      <c r="D71" t="str">
        <v>Cặp</v>
      </c>
      <c r="E71">
        <f>H71*$H$5</f>
        <v>3</v>
      </c>
      <c r="H71">
        <v>3</v>
      </c>
    </row>
    <row r="72">
      <c r="B72" t="str">
        <v>Ke khung cửa đi mở quay BLK45</v>
      </c>
      <c r="C72" t="str">
        <v>BLK45-DKNK</v>
      </c>
      <c r="D72" t="str">
        <v>Chiếc</v>
      </c>
      <c r="E72">
        <f>H72*$H$5</f>
        <v>2</v>
      </c>
      <c r="H72">
        <v>2</v>
      </c>
    </row>
    <row r="73">
      <c r="B73" t="str">
        <v>Ke cánh cửa đi mở quay BLK45</v>
      </c>
      <c r="C73" t="str">
        <v>BLK45-DKNC</v>
      </c>
      <c r="D73" t="str">
        <v>Chiếc</v>
      </c>
      <c r="E73">
        <f>H73*$H$5</f>
        <v>16</v>
      </c>
      <c r="H73">
        <v>16</v>
      </c>
    </row>
    <row r="74">
      <c r="B74" t="str">
        <v>Ke tăng cứng BLK45</v>
      </c>
      <c r="C74" t="str">
        <v>BLK45-KTC</v>
      </c>
      <c r="D74" t="str">
        <v>Chiếc</v>
      </c>
      <c r="E74">
        <f>H74*$H$5</f>
        <v>16</v>
      </c>
      <c r="H74">
        <v>16</v>
      </c>
    </row>
    <row r="77">
      <c r="B77" t="str">
        <v>BẢNG TÍNH GIÁ THÀNH</v>
      </c>
    </row>
    <row r="78">
      <c r="B78" t="str">
        <v>Tên gọi</v>
      </c>
      <c r="C78" t="str">
        <v>Đơn vị tính</v>
      </c>
      <c r="D78" t="str">
        <v>Số lượng</v>
      </c>
      <c r="E78" t="str">
        <v>Đơn giá</v>
      </c>
      <c r="F78" t="str">
        <v>Thành tiền</v>
      </c>
    </row>
    <row r="79">
      <c r="B79" t="str">
        <v>Nhôm (VNĐ)</v>
      </c>
      <c r="C79" t="str">
        <v>Kg</v>
      </c>
      <c r="D79">
        <f>SUM(I46:I54)</f>
        <v>56.191703</v>
      </c>
      <c r="E79">
        <f>C10</f>
        <v>105000</v>
      </c>
      <c r="F79">
        <f>E79*D79</f>
        <v>5900128.8149999995</v>
      </c>
    </row>
    <row r="80">
      <c r="B80" t="str">
        <v>Kính (VNĐ)</v>
      </c>
      <c r="C80" t="str">
        <v>m2</v>
      </c>
      <c r="D80">
        <f>SUM(F59:F59)</f>
        <v>3.744161</v>
      </c>
      <c r="E80">
        <f>C11</f>
        <v>245000</v>
      </c>
      <c r="F80">
        <f>E80*D80</f>
        <v>917319.4450000001</v>
      </c>
    </row>
    <row r="81">
      <c r="B81" t="str">
        <v>Phụ Kiện (tự nhập) (VNĐ)</v>
      </c>
    </row>
    <row r="82">
      <c r="B82" t="str">
        <v>Vật Tư Phụ (tự nhập) (VNĐ)</v>
      </c>
    </row>
    <row r="83">
      <c r="B83" t="str">
        <v>Công Sản Xuất + Lắp Đặt (VNĐ)</v>
      </c>
    </row>
    <row r="84">
      <c r="B84" t="str">
        <v>Tổng (chưa tính hao hụt nhôm)</v>
      </c>
      <c r="F84">
        <f>SUM(F79:F83)</f>
        <v>6817448.26</v>
      </c>
    </row>
  </sheetData>
  <mergeCells count="1">
    <mergeCell ref="B2:G2"/>
  </mergeCells>
  <pageMargins left="0.7" right="0.7" top="0.75" bottom="0.75" header="0.3" footer="0.3"/>
  <ignoredErrors>
    <ignoredError numberStoredAsText="1" sqref="A1:J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B57</v>
      </c>
      <c r="D2" t="str">
        <v>B62</v>
      </c>
      <c r="E2" t="str">
        <v>B77</v>
      </c>
    </row>
    <row r="3">
      <c r="A3" t="str">
        <v>C11</v>
      </c>
      <c r="B3" t="str">
        <v>G54</v>
      </c>
      <c r="C3" t="str">
        <v>G59</v>
      </c>
      <c r="D3" t="str">
        <v>E74</v>
      </c>
      <c r="E3" t="str">
        <v>F84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F84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CDMQ2C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2021-09-06T14:21:51Z</dcterms:modified>
  <cp:lastModifiedBy>ACER</cp:lastModifiedBy>
  <cp:lastPrinted>2014-12-05T03:23:20Z</cp:lastPrinted>
  <dc:creator>Windows User</dc:creator>
</cp:coreProperties>
</file>