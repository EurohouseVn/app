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  <numFmt numFmtId="168" formatCode="0.0000"/>
    <numFmt numFmtId="169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 rightToLeft="0"/>
  </sheetViews>
  <sheetData>
    <row r="2">
      <c r="B2" t="str">
        <v>BẢN VẼ SẢN XUẤT XINGFA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98000</v>
      </c>
      <c r="H4" t="str">
        <v>Cửa sổ mở quay 4 cánh đố động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C8</f>
        <v>1</v>
      </c>
      <c r="I5">
        <f>C11</f>
        <v>3.3</v>
      </c>
    </row>
    <row r="6">
      <c r="B6" t="str">
        <v>Cao Cửa (H) (mm)</v>
      </c>
      <c r="C6">
        <v>1500</v>
      </c>
      <c r="F6" t="str">
        <v>(1)-Cánh cửa đi ngậm khung</v>
      </c>
      <c r="G6">
        <v>7</v>
      </c>
    </row>
    <row r="7">
      <c r="B7" t="str">
        <v>Loại kính</v>
      </c>
      <c r="C7">
        <v>6</v>
      </c>
      <c r="F7" t="str">
        <v>(2)-Cánh cửa sổ ngậm khung</v>
      </c>
      <c r="G7">
        <v>6</v>
      </c>
    </row>
    <row r="8">
      <c r="B8" t="str">
        <v>Số bộ</v>
      </c>
      <c r="C8">
        <v>1</v>
      </c>
      <c r="F8" t="str">
        <v>(3)-Khe hở giữa cửa đi 2 (4) cánh</v>
      </c>
      <c r="G8">
        <v>5</v>
      </c>
    </row>
    <row r="9">
      <c r="B9" t="str">
        <v>Giá nhôm (VNĐ/Kg)</v>
      </c>
      <c r="C9">
        <v>98000</v>
      </c>
      <c r="F9" t="str">
        <v>(4)-Khe hở cánh cửa đi 4 cánh</v>
      </c>
      <c r="G9">
        <v>5</v>
      </c>
    </row>
    <row r="10">
      <c r="B10" t="str">
        <v>Giá kính (VNĐ/m2)</v>
      </c>
      <c r="C10">
        <v>245000</v>
      </c>
      <c r="F10" t="str">
        <v>(5)-Khe hở giữa cửa sổ 2 cánh</v>
      </c>
      <c r="G10">
        <v>5</v>
      </c>
    </row>
    <row r="11">
      <c r="B11" t="str">
        <v>Diện tích/bộ</v>
      </c>
      <c r="C11">
        <f>C5*C6/10^6</f>
        <v>3.3</v>
      </c>
      <c r="F11" t="str">
        <v>C3328- Khung cửa đi quay (kg/m)</v>
      </c>
      <c r="G11">
        <v>1.257</v>
      </c>
    </row>
    <row r="12">
      <c r="B12" t="str">
        <v>Tổng diện tích</v>
      </c>
      <c r="C12">
        <f>C11*C8</f>
        <v>3.3</v>
      </c>
      <c r="F12" t="str">
        <v>C3318- Khung cửa sổ quay (kg/m)</v>
      </c>
      <c r="G12">
        <v>0.876</v>
      </c>
    </row>
    <row r="13">
      <c r="F13" t="str">
        <v>C3209- Khung vách (kg/m)</v>
      </c>
      <c r="G13">
        <v>0.802</v>
      </c>
    </row>
    <row r="14">
      <c r="F14" t="str">
        <v>C3313- Đố chia khung mở quay (kg/m)</v>
      </c>
      <c r="G14">
        <v>1.01</v>
      </c>
    </row>
    <row r="15">
      <c r="F15" t="str">
        <v>C3203- Đố chia cánh, vách (kg/m)</v>
      </c>
      <c r="G15">
        <v>0.95</v>
      </c>
    </row>
    <row r="16">
      <c r="F16" t="str">
        <v>C3303- Cánh đi mở quay (kg/m)</v>
      </c>
      <c r="G16">
        <v>1.441</v>
      </c>
    </row>
    <row r="17">
      <c r="F17" t="str">
        <v>C3304- Cánh ngang dưới Cđi (kg/m)</v>
      </c>
      <c r="G17">
        <v>2.023</v>
      </c>
    </row>
    <row r="18">
      <c r="F18" t="str">
        <v>C3323- Đố động cửa đi (kg/m)</v>
      </c>
      <c r="G18">
        <v>1.086</v>
      </c>
    </row>
    <row r="19">
      <c r="F19" t="str">
        <v>C3202- Cánh cửa sổ quay (kg/m)</v>
      </c>
      <c r="G19">
        <v>1.088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1.436</v>
      </c>
    </row>
    <row r="26">
      <c r="F26" t="str">
        <v>D1942- khung dưới ray lệch 25-35 (kg/m)</v>
      </c>
      <c r="G26">
        <v>1.54</v>
      </c>
    </row>
    <row r="27">
      <c r="F27" t="str">
        <v>D1942A- khung dưới ray bằng 25 (kg/m)</v>
      </c>
      <c r="G27">
        <v>1.413</v>
      </c>
    </row>
    <row r="28">
      <c r="F28" t="str">
        <v>D1543A- Khung Đứng cửa trượt (kg/m)</v>
      </c>
      <c r="G28">
        <v>1.134</v>
      </c>
    </row>
    <row r="29">
      <c r="F29" t="str">
        <v>D1544A- Cánh trên H93A cửa trượt (kg/m)</v>
      </c>
      <c r="G29">
        <v>0.99</v>
      </c>
    </row>
    <row r="30">
      <c r="F30" t="str">
        <v>D1555A- Cánh dưới H93A cửa trượt (kg/m)</v>
      </c>
      <c r="G30">
        <v>1.243</v>
      </c>
    </row>
    <row r="31">
      <c r="F31" t="str">
        <v>D1546A- Cánh đứng H93A cửa trượt (kg/m)</v>
      </c>
      <c r="G31">
        <v>1.273</v>
      </c>
    </row>
    <row r="32">
      <c r="F32" t="str">
        <v>D1547A- Cánh móc H93A cửa trượt (kg/m)</v>
      </c>
      <c r="G32">
        <v>1.098</v>
      </c>
    </row>
    <row r="33">
      <c r="F33" t="str">
        <v>D1548A- Hèm đối đầu (kg/m)</v>
      </c>
      <c r="G33">
        <v>0.62</v>
      </c>
    </row>
    <row r="34">
      <c r="F34" t="str">
        <v>D1559A- Khung vách kính trượt (kg/m)</v>
      </c>
      <c r="G34">
        <v>1.035</v>
      </c>
    </row>
    <row r="35">
      <c r="F35" t="str">
        <v>D1549A- Ốp vách (kg/m)</v>
      </c>
      <c r="G35">
        <v>0.648</v>
      </c>
    </row>
    <row r="36">
      <c r="F36" t="str">
        <v>D2618- Đố T vách kính trượt (kg/m)</v>
      </c>
      <c r="G36">
        <v>1.486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</v>
      </c>
    </row>
    <row r="39">
      <c r="F39" t="str">
        <v>XF- Cánh cửa trượt 55 (kg/m)</v>
      </c>
      <c r="G39">
        <v>0.843</v>
      </c>
    </row>
    <row r="40">
      <c r="F40" t="str">
        <v>XF- Móc cánh cửa trượt 55 (kg/m)</v>
      </c>
      <c r="G40">
        <v>0.34</v>
      </c>
    </row>
    <row r="41">
      <c r="F41" t="str">
        <v>XF- Hèm đối đầu trượt 55 (kg/m)</v>
      </c>
      <c r="G41">
        <v>0.213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XF- Khung cửa sổ quay</v>
      </c>
      <c r="C46" t="str">
        <v>Ngang</v>
      </c>
      <c r="D46" t="str">
        <v>TV-XF-D3318</v>
      </c>
      <c r="E46" t="str">
        <v>45-45</v>
      </c>
      <c r="F46">
        <f>$C$8*J46</f>
        <v>2</v>
      </c>
      <c r="G46">
        <f>C5</f>
        <v>2200</v>
      </c>
      <c r="H46">
        <f>$G$12</f>
        <v>0.876</v>
      </c>
      <c r="I46">
        <f>F46*G46*H46/1000</f>
        <v>3.8544</v>
      </c>
      <c r="J46">
        <v>2</v>
      </c>
    </row>
    <row r="47">
      <c r="B47" t="str">
        <v>XF- Khung cửa sổ quay</v>
      </c>
      <c r="C47" t="str">
        <v>Đứng</v>
      </c>
      <c r="D47" t="str">
        <v>TV-XF-D3318</v>
      </c>
      <c r="E47" t="str">
        <v>45-45</v>
      </c>
      <c r="F47">
        <f>$C$8*J47</f>
        <v>2</v>
      </c>
      <c r="G47">
        <f>C6</f>
        <v>1500</v>
      </c>
      <c r="H47">
        <f>$G$12</f>
        <v>0.876</v>
      </c>
      <c r="I47">
        <f>F47*G47*H47/1000</f>
        <v>2.628</v>
      </c>
      <c r="J47">
        <v>2</v>
      </c>
    </row>
    <row r="48">
      <c r="B48" t="str">
        <v>XF- Cánh cửa sổ quay</v>
      </c>
      <c r="C48" t="str">
        <v>Ngang</v>
      </c>
      <c r="D48" t="str">
        <v>TV-XF-P8092-1.4</v>
      </c>
      <c r="E48" t="str">
        <v>45-45</v>
      </c>
      <c r="F48">
        <f>$C$8*J48</f>
        <v>8</v>
      </c>
      <c r="G48">
        <f>(C5-31*2+G7*2-G10*3)/4</f>
        <v>533.75</v>
      </c>
      <c r="H48">
        <f>$G$19</f>
        <v>1.088</v>
      </c>
      <c r="I48">
        <f>F48*G48*H48/1000</f>
        <v>4.64576</v>
      </c>
      <c r="J48">
        <v>8</v>
      </c>
    </row>
    <row r="49">
      <c r="B49" t="str">
        <v>XF- Cánh cửa sổ quay</v>
      </c>
      <c r="C49" t="str">
        <v>Đứng</v>
      </c>
      <c r="D49" t="str">
        <v>TV-XF-P8092-1.4</v>
      </c>
      <c r="E49" t="str">
        <v>45-45</v>
      </c>
      <c r="F49">
        <f>$C$8*J49</f>
        <v>8</v>
      </c>
      <c r="G49">
        <f>G47+J58-12+G7*2</f>
        <v>1450</v>
      </c>
      <c r="H49">
        <f>$G$19</f>
        <v>1.088</v>
      </c>
      <c r="I49">
        <f>F49*G49*H49/1000</f>
        <v>12.620800000000001</v>
      </c>
      <c r="J49">
        <v>8</v>
      </c>
    </row>
    <row r="50">
      <c r="B50" t="str">
        <v>XF- Đố động cửa đi và cửa sổ</v>
      </c>
      <c r="C50" t="str">
        <v>Đứng</v>
      </c>
      <c r="D50" t="str">
        <v>TV-XF-M3323C</v>
      </c>
      <c r="E50" t="str">
        <v>90-90</v>
      </c>
      <c r="F50">
        <f>$C$8*J50</f>
        <v>3</v>
      </c>
      <c r="G50">
        <f>G49-32*2</f>
        <v>1386</v>
      </c>
      <c r="H50">
        <f>$G$20</f>
        <v>0.825</v>
      </c>
      <c r="I50">
        <f>F50*G50*H50/1000</f>
        <v>3.43035</v>
      </c>
      <c r="J50">
        <v>3</v>
      </c>
    </row>
    <row r="51">
      <c r="B51" t="str">
        <v>XF- Nẹp cánh, vách</v>
      </c>
      <c r="C51" t="str">
        <v>Ngang</v>
      </c>
      <c r="D51" t="str">
        <v>TV-XF-M3295</v>
      </c>
      <c r="E51" t="str">
        <v>90-90</v>
      </c>
      <c r="F51">
        <f>$C$8*J51</f>
        <v>8</v>
      </c>
      <c r="G51">
        <f>G48+J59</f>
        <v>419.75</v>
      </c>
      <c r="H51">
        <f>$G$21</f>
        <v>0.271</v>
      </c>
      <c r="I51">
        <f>F51*G51*H51/1000</f>
        <v>0.910018</v>
      </c>
      <c r="J51">
        <v>8</v>
      </c>
    </row>
    <row r="52">
      <c r="B52" t="str">
        <v>XF- Nẹp cánh, vách</v>
      </c>
      <c r="C52" t="str">
        <v>Đứng</v>
      </c>
      <c r="D52" t="str">
        <v>TV-XF-M3295</v>
      </c>
      <c r="E52" t="str">
        <v>90-90</v>
      </c>
      <c r="F52">
        <f>$C$8*J52</f>
        <v>8</v>
      </c>
      <c r="G52">
        <f>G49+J61</f>
        <v>1298</v>
      </c>
      <c r="H52">
        <f>$G$21</f>
        <v>0.271</v>
      </c>
      <c r="I52">
        <f>F52*G52*H52/1000</f>
        <v>2.814064</v>
      </c>
      <c r="J52">
        <v>8</v>
      </c>
    </row>
    <row r="55">
      <c r="B55" t="str">
        <v>KÍCH THƯỚC CẮT KÍNH</v>
      </c>
      <c r="J55">
        <v>-40</v>
      </c>
    </row>
    <row r="56">
      <c r="B56" t="str">
        <v>Tên kính</v>
      </c>
      <c r="C56" t="str">
        <v>Rộng</v>
      </c>
      <c r="D56" t="str">
        <v>Cao</v>
      </c>
      <c r="E56" t="str">
        <v>Số lượng</v>
      </c>
      <c r="F56" t="str">
        <v>Diện tích kính (m2)</v>
      </c>
      <c r="G56" t="str">
        <v>Vị trí</v>
      </c>
      <c r="J56">
        <v>-37.5</v>
      </c>
    </row>
    <row r="57">
      <c r="B57">
        <f>C7</f>
        <v>6</v>
      </c>
      <c r="C57">
        <f>G48+H57</f>
        <v>412.75</v>
      </c>
      <c r="D57">
        <f>G49+I57</f>
        <v>1329</v>
      </c>
      <c r="E57">
        <f>4*C8</f>
        <v>4</v>
      </c>
      <c r="F57">
        <f>E57*D57*C57/10^6</f>
        <v>2.194179</v>
      </c>
      <c r="G57" t="str">
        <v>cánh</v>
      </c>
      <c r="H57">
        <v>-121</v>
      </c>
      <c r="I57">
        <v>-121</v>
      </c>
      <c r="J57">
        <v>-37</v>
      </c>
    </row>
    <row r="58">
      <c r="J58">
        <v>-50</v>
      </c>
    </row>
    <row r="59">
      <c r="J59">
        <v>-114</v>
      </c>
    </row>
    <row r="60">
      <c r="B60" t="str">
        <v>PHỤ KIỆN</v>
      </c>
      <c r="C60" t="str">
        <v>sổ 2 cánh</v>
      </c>
      <c r="J60">
        <v>-114</v>
      </c>
    </row>
    <row r="61">
      <c r="B61" t="str">
        <v>Tên</v>
      </c>
      <c r="C61" t="str">
        <v>Mã</v>
      </c>
      <c r="D61" t="str">
        <v>ĐVT</v>
      </c>
      <c r="E61" t="str">
        <v>Số lượng</v>
      </c>
      <c r="J61">
        <v>-152</v>
      </c>
    </row>
    <row r="62">
      <c r="B62" t="str">
        <v>Bản lề cửa sổ XF</v>
      </c>
      <c r="C62" t="str">
        <v>XF-SBL</v>
      </c>
      <c r="D62" t="str">
        <v>Chiếc</v>
      </c>
      <c r="E62">
        <f>H62*$H$5</f>
        <v>8</v>
      </c>
      <c r="H62">
        <v>8</v>
      </c>
    </row>
    <row r="63">
      <c r="B63" t="str">
        <v>Tay nắm cửa sổ mở quay XF</v>
      </c>
      <c r="C63" t="str">
        <v>XF-STN</v>
      </c>
      <c r="D63" t="str">
        <v>Chiếc</v>
      </c>
      <c r="E63">
        <f>H63*$H$5</f>
        <v>3</v>
      </c>
      <c r="H63">
        <v>3</v>
      </c>
    </row>
    <row r="64">
      <c r="B64" t="str">
        <v>Thanh chuyển động XF</v>
      </c>
      <c r="C64" t="str">
        <v>XF-STCD</v>
      </c>
      <c r="D64" t="str">
        <v>Thanh</v>
      </c>
      <c r="E64">
        <f>H64*$H$5</f>
        <v>3</v>
      </c>
      <c r="H64">
        <v>3</v>
      </c>
    </row>
    <row r="65">
      <c r="B65" t="str">
        <v>Vấu 2 cánh cửa sổ XF</v>
      </c>
      <c r="C65" t="str">
        <v>XF-SV2C</v>
      </c>
      <c r="D65" t="str">
        <v>Chiếc</v>
      </c>
      <c r="E65">
        <f>H65*$H$5</f>
        <v>6</v>
      </c>
      <c r="H65">
        <v>6</v>
      </c>
    </row>
    <row r="66">
      <c r="B66" t="str">
        <v>Chốt cánh phụ cửa sổ XF</v>
      </c>
      <c r="C66" t="str">
        <v>XF-SCCP</v>
      </c>
      <c r="D66" t="str">
        <v>Chiếc</v>
      </c>
      <c r="E66">
        <f>H66*$H$5</f>
        <v>2</v>
      </c>
      <c r="H66">
        <v>2</v>
      </c>
    </row>
    <row r="67">
      <c r="B67" t="str">
        <v>Nắp bịt đố động XF</v>
      </c>
      <c r="C67" t="str">
        <v>XF-BDD</v>
      </c>
      <c r="D67" t="str">
        <v>Cặp</v>
      </c>
      <c r="E67">
        <f>H67*$H$5</f>
        <v>3</v>
      </c>
      <c r="H67">
        <v>3</v>
      </c>
    </row>
    <row r="68">
      <c r="B68" t="str">
        <v>Ke khung cửa sổ XF</v>
      </c>
      <c r="C68" t="str">
        <v>XF-SKK</v>
      </c>
      <c r="D68" t="str">
        <v>Chiếc</v>
      </c>
      <c r="E68">
        <f>H68*$H$5</f>
        <v>4</v>
      </c>
      <c r="H68">
        <v>4</v>
      </c>
    </row>
    <row r="69">
      <c r="B69" t="str">
        <v>Ke cánh cửa sổ XF</v>
      </c>
      <c r="C69" t="str">
        <v>XF-SKC</v>
      </c>
      <c r="D69" t="str">
        <v>Chiếc</v>
      </c>
      <c r="E69">
        <f>H69*$H$5</f>
        <v>16</v>
      </c>
      <c r="H69">
        <v>16</v>
      </c>
    </row>
    <row r="70">
      <c r="B70" t="str">
        <v>Ke tăng cứng XF</v>
      </c>
      <c r="C70" t="str">
        <v>XF-KTC</v>
      </c>
      <c r="D70" t="str">
        <v>Chiếc</v>
      </c>
      <c r="E70">
        <f>H70*$H$5</f>
        <v>16</v>
      </c>
      <c r="H70">
        <v>16</v>
      </c>
    </row>
    <row r="73">
      <c r="B73" t="str">
        <v>BẢNG TÍNH GIÁ THÀNH</v>
      </c>
    </row>
    <row r="74">
      <c r="B74" t="str">
        <v>Tên gọi</v>
      </c>
      <c r="C74" t="str">
        <v>Đơn vị tính</v>
      </c>
      <c r="D74" t="str">
        <v>Số lượng</v>
      </c>
      <c r="E74" t="str">
        <v>Đơn giá</v>
      </c>
      <c r="F74" t="str">
        <v>Thành tiền</v>
      </c>
    </row>
    <row r="75">
      <c r="B75" t="str">
        <v>Nhôm (VNĐ)</v>
      </c>
      <c r="C75" t="str">
        <v>Kg</v>
      </c>
      <c r="D75">
        <f>SUM(I46:I52)</f>
        <v>30.903392000000004</v>
      </c>
      <c r="E75">
        <f>C9</f>
        <v>98000</v>
      </c>
      <c r="F75">
        <f>E75*D75</f>
        <v>3028532.416</v>
      </c>
    </row>
    <row r="76">
      <c r="B76" t="str">
        <v>Kính (VNĐ)</v>
      </c>
      <c r="C76" t="str">
        <v>m2</v>
      </c>
      <c r="D76">
        <f>SUM(F57:F57)</f>
        <v>2.194179</v>
      </c>
      <c r="E76">
        <f>C10</f>
        <v>245000</v>
      </c>
      <c r="F76">
        <f>E76*D76</f>
        <v>537573.855</v>
      </c>
    </row>
    <row r="77">
      <c r="B77" t="str">
        <v>Phụ Kiện (tự nhập) (VNĐ)</v>
      </c>
    </row>
    <row r="78">
      <c r="B78" t="str">
        <v>Vật Tư Phụ (tự nhập) (VNĐ)</v>
      </c>
    </row>
    <row r="79">
      <c r="B79" t="str">
        <v>Công Sản Xuất + Lắp Đặt (VNĐ)</v>
      </c>
    </row>
    <row r="80">
      <c r="B80" t="str">
        <v>Tổng (chưa tính hao hụt nhôm)</v>
      </c>
      <c r="F80">
        <f>SUM(F75:F79)</f>
        <v>3566106.271</v>
      </c>
    </row>
  </sheetData>
  <mergeCells count="1">
    <mergeCell ref="B2:G2"/>
  </mergeCells>
  <pageMargins left="0.7" right="0.7" top="0.75" bottom="0.75" header="0.3" footer="0.3"/>
  <ignoredErrors>
    <ignoredError numberStoredAsText="1" sqref="A1:J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B55</v>
      </c>
      <c r="D2" t="str">
        <v>B60</v>
      </c>
      <c r="E2" t="str">
        <v>B73</v>
      </c>
    </row>
    <row r="3">
      <c r="A3" t="str">
        <v>C10</v>
      </c>
      <c r="B3" t="str">
        <v>G52</v>
      </c>
      <c r="C3" t="str">
        <v>G57</v>
      </c>
      <c r="D3" t="str">
        <v>E70</v>
      </c>
      <c r="E3" t="str">
        <v>F80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F80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2023-12-24T02:16:42Z</dcterms:modified>
  <cp:lastModifiedBy>Admin</cp:lastModifiedBy>
  <cp:lastPrinted>2014-12-05T03:23:20Z</cp:lastPrinted>
  <dc:creator>Windows User</dc:creator>
</cp:coreProperties>
</file>