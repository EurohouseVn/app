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CSMQ2C (2)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Data>
    <row r="2">
      <c r="B2" t="str">
        <v>BẢN VẼ SẢN XUẤT P55M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S3.2</v>
      </c>
      <c r="F4" t="str">
        <v>Giá nhôm (VNĐ/Kg)</v>
      </c>
      <c r="G4">
        <v>90000</v>
      </c>
      <c r="H4" t="str">
        <v>Cửa sổ mở quay (hất) 4 cánh liền vách</v>
      </c>
    </row>
    <row r="5">
      <c r="B5" t="str">
        <v>Rộng Cửa (B) (mm)</v>
      </c>
      <c r="C5">
        <v>2000</v>
      </c>
      <c r="F5" t="str">
        <v>Giá kính (VNĐ/m2)</v>
      </c>
      <c r="G5">
        <v>245000</v>
      </c>
      <c r="H5">
        <f>C10</f>
        <v>1</v>
      </c>
      <c r="I5">
        <f>C13</f>
        <v>3.6</v>
      </c>
    </row>
    <row r="6">
      <c r="B6" t="str">
        <v>Cao Cửa (H) (mm)</v>
      </c>
      <c r="C6">
        <v>1800</v>
      </c>
      <c r="F6" t="str">
        <v>(1)-Cánh cửa đi ngậm khung</v>
      </c>
      <c r="G6">
        <v>7</v>
      </c>
    </row>
    <row r="7">
      <c r="B7" t="str">
        <v>H1 (mm)</v>
      </c>
      <c r="C7">
        <v>1500</v>
      </c>
      <c r="F7" t="str">
        <v>(2)-Cánh cửa sổ ngậm khung</v>
      </c>
      <c r="G7">
        <v>7</v>
      </c>
    </row>
    <row r="8">
      <c r="B8" t="str">
        <v>Số cánh</v>
      </c>
      <c r="C8">
        <v>6</v>
      </c>
      <c r="F8" t="str">
        <v>(3)-Khe hở giữa cửa đi 2 (4) cánh</v>
      </c>
      <c r="G8">
        <v>5</v>
      </c>
    </row>
    <row r="9">
      <c r="B9" t="str">
        <v>Loại kính</v>
      </c>
      <c r="C9">
        <v>6</v>
      </c>
      <c r="F9" t="str">
        <v>(4)-Khe hở cánh cửa đi 4 cánh</v>
      </c>
      <c r="G9">
        <v>5</v>
      </c>
    </row>
    <row r="10">
      <c r="B10" t="str">
        <v>Số bộ</v>
      </c>
      <c r="C10">
        <v>1</v>
      </c>
      <c r="F10" t="str">
        <v>(5)-Khe hở giữa cửa sổ 2 cánh</v>
      </c>
      <c r="G10">
        <v>5</v>
      </c>
    </row>
    <row r="11">
      <c r="B11" t="str">
        <v>Giá nhôm (VNĐ/Kg)</v>
      </c>
      <c r="C11">
        <v>90000</v>
      </c>
      <c r="F11" t="str">
        <v>(6)-Cánh cửa trượt ngậm khung</v>
      </c>
      <c r="G11">
        <v>10</v>
      </c>
    </row>
    <row r="12">
      <c r="B12" t="str">
        <v>Giá kính (VNĐ/m2)</v>
      </c>
      <c r="C12">
        <v>245000</v>
      </c>
      <c r="F12" t="str">
        <v>(7)-Khe hở kính</v>
      </c>
      <c r="G12">
        <v>9</v>
      </c>
    </row>
    <row r="13">
      <c r="B13" t="str">
        <v>Diện tích/bộ</v>
      </c>
      <c r="C13">
        <f>C5*C6/10^6</f>
        <v>3.6</v>
      </c>
      <c r="F13" t="str">
        <v>(8)-Cao khung mở quay (tính cánh)</v>
      </c>
      <c r="G13">
        <v>37</v>
      </c>
    </row>
    <row r="14">
      <c r="B14" t="str">
        <v>Tổng diện tích</v>
      </c>
      <c r="C14">
        <f>C13*C10</f>
        <v>3.6</v>
      </c>
      <c r="E14">
        <f>C5</f>
        <v>2000</v>
      </c>
      <c r="F14" t="str">
        <v>(9)-Cao khung mở quay (tính đố)</v>
      </c>
      <c r="G14">
        <v>25</v>
      </c>
    </row>
    <row r="15">
      <c r="F15" t="str">
        <v>(10)-Cao đố chia vách (tính cánh)</v>
      </c>
      <c r="G15">
        <v>37</v>
      </c>
    </row>
    <row r="16">
      <c r="B16" t="str">
        <v>B1 (mm)</v>
      </c>
      <c r="C16" t="str">
        <v>s</v>
      </c>
      <c r="F16" t="str">
        <v>(11)-Cao đố chia vách (tính đố)</v>
      </c>
      <c r="G16">
        <v>13</v>
      </c>
    </row>
    <row r="17">
      <c r="F17" t="str">
        <v>(12)-Cao cánh cửa đi (tính kính)</v>
      </c>
      <c r="G17">
        <v>74</v>
      </c>
    </row>
    <row r="18">
      <c r="F18" t="str">
        <v>(13)-Cao cánh cửa đi (tính đố cánh)</v>
      </c>
      <c r="G18">
        <v>74</v>
      </c>
    </row>
    <row r="19">
      <c r="F19" t="str">
        <v>(14)-Cao đố cánh cửa đi</v>
      </c>
      <c r="G19">
        <v>54</v>
      </c>
    </row>
    <row r="20">
      <c r="F20" t="str">
        <v>(15)-Cao cánh cửa sổ (tính kính)</v>
      </c>
      <c r="G20">
        <v>60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45</v>
      </c>
    </row>
    <row r="23">
      <c r="F23" t="str">
        <v>(18)-Cao cánh cửa trượt (tính cánh)</v>
      </c>
      <c r="G23">
        <v>69</v>
      </c>
    </row>
    <row r="24">
      <c r="F24" t="str">
        <v>(19)-Cao cánh cửa trượt (tính kính)</v>
      </c>
      <c r="G24">
        <v>55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Khung cửa mở quay (kg/m)</v>
      </c>
      <c r="G27">
        <v>0.86</v>
      </c>
    </row>
    <row r="28">
      <c r="F28" t="str">
        <v>Đố chia khung (kg/m)</v>
      </c>
      <c r="G28">
        <v>0.906</v>
      </c>
    </row>
    <row r="29">
      <c r="F29" t="str">
        <v>Cánh cửa sổ quay (kg/m)</v>
      </c>
      <c r="G29">
        <v>0.947</v>
      </c>
    </row>
    <row r="30">
      <c r="F30" t="str">
        <v>Cánh đi mở quay (kg/m)</v>
      </c>
      <c r="G30">
        <v>1.038</v>
      </c>
    </row>
    <row r="31">
      <c r="F31" t="str">
        <v>Đố cánh cửa đi (kg/m)</v>
      </c>
      <c r="G31">
        <v>1.056</v>
      </c>
    </row>
    <row r="32">
      <c r="F32" t="str">
        <v>Đố động (kg/m)</v>
      </c>
      <c r="G32">
        <v>0.683</v>
      </c>
    </row>
    <row r="33">
      <c r="B33">
        <f>$G$27</f>
        <v>0.86</v>
      </c>
      <c r="F33" t="str">
        <v>Ốp đáy (kg/m)</v>
      </c>
      <c r="G33">
        <v>0.214</v>
      </c>
    </row>
    <row r="34">
      <c r="B34">
        <f>$G$27</f>
        <v>0.86</v>
      </c>
      <c r="F34" t="str">
        <v>Nẹp vách (kg/m)</v>
      </c>
      <c r="G34">
        <v>0.214</v>
      </c>
    </row>
    <row r="35">
      <c r="B35">
        <f>$G$28</f>
        <v>0.906</v>
      </c>
      <c r="F35" t="str">
        <v>Nối khung (kg/m)</v>
      </c>
      <c r="G35">
        <v>0.342</v>
      </c>
    </row>
    <row r="36">
      <c r="B36">
        <f>$G$28</f>
        <v>0.906</v>
      </c>
      <c r="F36" t="str">
        <v>Khung cửa trượt (kg/m)</v>
      </c>
      <c r="G36">
        <v>1.131</v>
      </c>
    </row>
    <row r="37">
      <c r="B37">
        <f>$G$29</f>
        <v>0.947</v>
      </c>
      <c r="F37" t="str">
        <v>Cánh cửa trượt (kg/m)</v>
      </c>
      <c r="G37">
        <v>0.79</v>
      </c>
    </row>
    <row r="38">
      <c r="B38">
        <f>$G$29</f>
        <v>0.947</v>
      </c>
      <c r="F38" t="str">
        <v>Móc cánh cửa trượt (kg/m)</v>
      </c>
      <c r="G38">
        <v>0.34</v>
      </c>
    </row>
    <row r="39">
      <c r="B39">
        <f>$G$34</f>
        <v>0.214</v>
      </c>
      <c r="F39" t="str">
        <v>Hèm đối đầu (kg/m)</v>
      </c>
      <c r="G39">
        <v>0.268</v>
      </c>
    </row>
    <row r="40">
      <c r="B40">
        <f>$G$34</f>
        <v>0.214</v>
      </c>
      <c r="F40" t="str">
        <v>(22)-Tính đố động= cánh trừ</v>
      </c>
      <c r="G40">
        <v>29</v>
      </c>
    </row>
    <row r="41">
      <c r="F41" t="str">
        <v>(23)-Cửa trượt ngậm thêm khung</v>
      </c>
      <c r="G41">
        <v>0</v>
      </c>
    </row>
    <row r="42">
      <c r="F42" t="str">
        <v>(24)-Tính hèm chân= cánh trừ</v>
      </c>
      <c r="G42">
        <v>19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cửa mở quay</v>
      </c>
      <c r="C46" t="str">
        <v>Ngang</v>
      </c>
      <c r="D46" t="str">
        <v>P55M0112</v>
      </c>
      <c r="E46" t="str">
        <v>45-45</v>
      </c>
      <c r="F46">
        <f>$C$10*J46</f>
        <v>2</v>
      </c>
      <c r="G46">
        <f>C5</f>
        <v>2000</v>
      </c>
      <c r="H46">
        <f>B33</f>
        <v>0.86</v>
      </c>
      <c r="I46">
        <f>F46*G46*B33/1000</f>
        <v>3.44</v>
      </c>
      <c r="J46">
        <v>2</v>
      </c>
    </row>
    <row r="47">
      <c r="B47" t="str">
        <v>Khung cửa mở quay</v>
      </c>
      <c r="C47" t="str">
        <v>Đứng</v>
      </c>
      <c r="D47" t="str">
        <v>P55M0112</v>
      </c>
      <c r="E47" t="str">
        <v>45-45</v>
      </c>
      <c r="F47">
        <f>$C$10*J47</f>
        <v>2</v>
      </c>
      <c r="G47">
        <f>C6</f>
        <v>1800</v>
      </c>
      <c r="H47">
        <f>B34</f>
        <v>0.86</v>
      </c>
      <c r="I47">
        <f>F47*G47*B34/1000</f>
        <v>3.096</v>
      </c>
      <c r="J47">
        <v>2</v>
      </c>
    </row>
    <row r="48">
      <c r="B48" t="str">
        <v>Đố chia khung</v>
      </c>
      <c r="C48" t="str">
        <v>Đứng</v>
      </c>
      <c r="D48" t="str">
        <v>P55M0412</v>
      </c>
      <c r="E48" t="str">
        <v>90-90</v>
      </c>
      <c r="F48">
        <f>$C$10*(C8-1)</f>
        <v>5</v>
      </c>
      <c r="G48">
        <f>G47-G14*2</f>
        <v>1750</v>
      </c>
      <c r="H48">
        <f>B35</f>
        <v>0.906</v>
      </c>
      <c r="I48">
        <f>F48*G48*B35/1000</f>
        <v>7.9275</v>
      </c>
      <c r="J48">
        <v>3</v>
      </c>
    </row>
    <row r="49">
      <c r="B49" t="str">
        <v>Đố chia khung</v>
      </c>
      <c r="C49" t="str">
        <v>Ngang</v>
      </c>
      <c r="D49" t="str">
        <v>P55M0412</v>
      </c>
      <c r="E49" t="str">
        <v>90-90</v>
      </c>
      <c r="F49">
        <f>$C$10*C8</f>
        <v>6</v>
      </c>
      <c r="G49">
        <f>(C5-G14*2-G16*(C8-1))/C8</f>
        <v>314.1666666666667</v>
      </c>
      <c r="H49">
        <f>B36</f>
        <v>0.906</v>
      </c>
      <c r="I49">
        <f>F49*G49*B36/1000</f>
        <v>1.70781</v>
      </c>
      <c r="J49">
        <v>4</v>
      </c>
    </row>
    <row r="50">
      <c r="B50" t="str">
        <v>Cánh cửa sổ quay</v>
      </c>
      <c r="C50" t="str">
        <v>Ngang</v>
      </c>
      <c r="D50" t="str">
        <v>P55M0212</v>
      </c>
      <c r="E50" t="str">
        <v>45-45</v>
      </c>
      <c r="F50">
        <f>$C$10*C8*2</f>
        <v>12</v>
      </c>
      <c r="G50">
        <f>(C5-G13*2-G15*(C8-1))/C8+G7*2</f>
        <v>304.1666666666667</v>
      </c>
      <c r="H50">
        <f>B37</f>
        <v>0.947</v>
      </c>
      <c r="I50">
        <f>F50*G50*B37/1000</f>
        <v>3.4565499999999996</v>
      </c>
      <c r="J50">
        <v>8</v>
      </c>
    </row>
    <row r="51">
      <c r="B51" t="str">
        <v>Cánh cửa sổ quay</v>
      </c>
      <c r="C51" t="str">
        <v>Đứng</v>
      </c>
      <c r="D51" t="str">
        <v>P55M0212</v>
      </c>
      <c r="E51" t="str">
        <v>45-45</v>
      </c>
      <c r="F51">
        <f>$C$10*C8*2</f>
        <v>12</v>
      </c>
      <c r="G51">
        <f>C7-G13-G15/2+G7*2</f>
        <v>1458.5</v>
      </c>
      <c r="H51">
        <f>B38</f>
        <v>0.947</v>
      </c>
      <c r="I51">
        <f>F51*G51*B38/1000</f>
        <v>16.574394</v>
      </c>
      <c r="J51">
        <v>8</v>
      </c>
    </row>
    <row r="52">
      <c r="B52" t="str">
        <v>Nẹp vách</v>
      </c>
      <c r="C52" t="str">
        <v>Ngang</v>
      </c>
      <c r="D52" t="str">
        <v>P55M0910</v>
      </c>
      <c r="E52" t="str">
        <v>90-90</v>
      </c>
      <c r="F52">
        <f>$C$10*C8*2</f>
        <v>12</v>
      </c>
      <c r="G52">
        <f>(C5-G13*2-G15*(C8-1))/C8</f>
        <v>290.1666666666667</v>
      </c>
      <c r="H52">
        <f>B39</f>
        <v>0.214</v>
      </c>
      <c r="I52">
        <f>F52*G52*B39/1000</f>
        <v>0.745148</v>
      </c>
      <c r="J52">
        <v>8</v>
      </c>
    </row>
    <row r="53">
      <c r="B53" t="str">
        <v>Nẹp vách</v>
      </c>
      <c r="C53" t="str">
        <v>Đứng</v>
      </c>
      <c r="D53" t="str">
        <v>P55M0910</v>
      </c>
      <c r="E53" t="str">
        <v>90-90</v>
      </c>
      <c r="F53">
        <f>$C$10*C8*2</f>
        <v>12</v>
      </c>
      <c r="G53">
        <f>G47-C7-G13-G15/2-G21*2</f>
        <v>206.5</v>
      </c>
      <c r="H53">
        <f>B40</f>
        <v>0.214</v>
      </c>
      <c r="I53">
        <f>F53*G53*B40/1000</f>
        <v>0.530292</v>
      </c>
      <c r="J53">
        <v>8</v>
      </c>
    </row>
    <row r="56">
      <c r="B56" t="str">
        <v>KÍCH THƯỚC CẮT KÍNH</v>
      </c>
    </row>
    <row r="57">
      <c r="B57" t="str">
        <v>Tên kính</v>
      </c>
      <c r="C57" t="str">
        <v>Rộng</v>
      </c>
      <c r="D57" t="str">
        <v>Cao</v>
      </c>
      <c r="E57" t="str">
        <v>Số lượng</v>
      </c>
      <c r="F57" t="str">
        <v>Diện tích kính (m2)</v>
      </c>
      <c r="G57" t="str">
        <v>Vị trí</v>
      </c>
    </row>
    <row r="58">
      <c r="B58">
        <f>C9</f>
        <v>6</v>
      </c>
      <c r="C58">
        <f>G50-G20*2-G12</f>
        <v>175.16666666666669</v>
      </c>
      <c r="D58">
        <f>G51-G20*2-G12</f>
        <v>1329.5</v>
      </c>
      <c r="E58">
        <f>C8*C10</f>
        <v>6</v>
      </c>
      <c r="F58">
        <f>E58*D58*C58/10^6</f>
        <v>1.3973045000000002</v>
      </c>
      <c r="G58" t="str">
        <v>cánh</v>
      </c>
    </row>
    <row r="59">
      <c r="B59">
        <f>C9</f>
        <v>6</v>
      </c>
      <c r="C59">
        <f>G52-G12</f>
        <v>281.1666666666667</v>
      </c>
      <c r="D59">
        <f>G47-C7-G13-G15/2-G12</f>
        <v>235.5</v>
      </c>
      <c r="E59">
        <f>E58</f>
        <v>6</v>
      </c>
      <c r="F59">
        <f>E59*D59*C59/10^6</f>
        <v>0.3972885</v>
      </c>
      <c r="G59" t="str">
        <v>vách</v>
      </c>
    </row>
    <row r="62">
      <c r="B62" t="str">
        <v>PHỤ KIỆN</v>
      </c>
      <c r="C62" t="str">
        <v>sổ 1 cánh</v>
      </c>
    </row>
    <row r="63">
      <c r="B63" t="str">
        <v>Tên</v>
      </c>
      <c r="C63" t="str">
        <v>Mã</v>
      </c>
      <c r="D63" t="str">
        <v>ĐVT</v>
      </c>
      <c r="E63" t="str">
        <v>Số lượng</v>
      </c>
      <c r="H63" t="str">
        <v>SL/Bộ</v>
      </c>
    </row>
    <row r="64">
      <c r="B64" t="str">
        <v>Bản lề cửa sổ P55M</v>
      </c>
      <c r="C64" t="str">
        <v>P55M-SBL</v>
      </c>
      <c r="D64" t="str">
        <v>Chiếc</v>
      </c>
      <c r="E64">
        <f>H64*$H$5*$C$8</f>
        <v>12</v>
      </c>
      <c r="H64">
        <v>2</v>
      </c>
    </row>
    <row r="65">
      <c r="B65" t="str">
        <v>Tay nắm cửa sổ mở quay P55M</v>
      </c>
      <c r="C65" t="str">
        <v>P55M-STN</v>
      </c>
      <c r="D65" t="str">
        <v>Chiếc</v>
      </c>
      <c r="E65">
        <f>H65*$H$5*$C$8</f>
        <v>6</v>
      </c>
      <c r="H65">
        <v>1</v>
      </c>
    </row>
    <row r="66">
      <c r="B66" t="str">
        <v>Thanh chuyển động P55M</v>
      </c>
      <c r="C66" t="str">
        <v>P55M-STCD</v>
      </c>
      <c r="D66" t="str">
        <v>Thanh</v>
      </c>
      <c r="E66">
        <f>H66*$H$5*$C$8</f>
        <v>6</v>
      </c>
      <c r="H66">
        <v>1</v>
      </c>
    </row>
    <row r="67">
      <c r="B67" t="str">
        <v>Vấu chốt quay hất cửa sổ P55M</v>
      </c>
      <c r="C67" t="str">
        <v>P55M-SV</v>
      </c>
      <c r="D67" t="str">
        <v>Chiếc</v>
      </c>
      <c r="E67">
        <f>H67*$H$5*$C$8</f>
        <v>12</v>
      </c>
      <c r="H67">
        <v>2</v>
      </c>
    </row>
    <row r="68">
      <c r="B68" t="str">
        <v>Ke nhảy khung mở quay P55M</v>
      </c>
      <c r="C68" t="str">
        <v>P55M-KNK</v>
      </c>
      <c r="D68" t="str">
        <v>Chiếc</v>
      </c>
      <c r="E68">
        <f>H68*$H$5</f>
        <v>4</v>
      </c>
      <c r="H68">
        <v>4</v>
      </c>
    </row>
    <row r="69">
      <c r="B69" t="str">
        <v>Ke nhảy cánh sổ mở quay P55M</v>
      </c>
      <c r="C69" t="str">
        <v>P55M-SKNC</v>
      </c>
      <c r="D69" t="str">
        <v>Chiếc</v>
      </c>
      <c r="E69">
        <f>H69*$H$5*$C$8</f>
        <v>24</v>
      </c>
      <c r="H69">
        <v>4</v>
      </c>
    </row>
    <row r="70">
      <c r="B70" t="str">
        <v>Ke tăng cứng P55M</v>
      </c>
      <c r="C70" t="str">
        <v>P55M-KTC</v>
      </c>
      <c r="D70" t="str">
        <v>Chiếc</v>
      </c>
      <c r="E70">
        <f>H70*$H$5*$C$8</f>
        <v>24</v>
      </c>
      <c r="H70">
        <v>4</v>
      </c>
    </row>
    <row r="73">
      <c r="B73" t="str">
        <v>BẢNG TÍNH GIÁ THÀNH</v>
      </c>
    </row>
    <row r="74">
      <c r="B74" t="str">
        <v>Tên gọi</v>
      </c>
      <c r="C74" t="str">
        <v>Đơn vị tính</v>
      </c>
      <c r="D74" t="str">
        <v>Số lượng</v>
      </c>
      <c r="E74" t="str">
        <v>Đơn giá</v>
      </c>
      <c r="F74" t="str">
        <v>Thành tiền</v>
      </c>
    </row>
    <row r="75">
      <c r="B75" t="str">
        <v>Nhôm (VNĐ)</v>
      </c>
      <c r="C75" t="str">
        <v>Kg</v>
      </c>
      <c r="D75">
        <f>SUM(I46:I53)</f>
        <v>37.477694</v>
      </c>
      <c r="E75">
        <f>C11</f>
        <v>90000</v>
      </c>
      <c r="F75">
        <f>E75*D75</f>
        <v>3372992.46</v>
      </c>
    </row>
    <row r="76">
      <c r="B76" t="str">
        <v>Kính (VNĐ)</v>
      </c>
      <c r="C76" t="str">
        <v>m2</v>
      </c>
      <c r="D76">
        <f>SUM(F58:F59)</f>
        <v>1.794593</v>
      </c>
      <c r="E76">
        <f>C12</f>
        <v>245000</v>
      </c>
      <c r="F76">
        <f>E76*D76</f>
        <v>439675.28500000003</v>
      </c>
    </row>
    <row r="77">
      <c r="B77" t="str">
        <v>Phụ Kiện (tự nhập) (VNĐ)</v>
      </c>
    </row>
    <row r="78">
      <c r="B78" t="str">
        <v>Vật Tư Phụ (tự nhập) (VNĐ)</v>
      </c>
    </row>
    <row r="79">
      <c r="B79" t="str">
        <v>Công Sản Xuất + Lắp Đặt (VNĐ)</v>
      </c>
    </row>
    <row r="80">
      <c r="B80" t="str">
        <v>Tổng (chưa tính hao hụt nhôm)</v>
      </c>
      <c r="F80">
        <f>SUM(F75:F79)</f>
        <v>3812667.745</v>
      </c>
    </row>
  </sheetData>
  <mergeCells count="2">
    <mergeCell ref="B2:G2"/>
    <mergeCell ref="B44:G44"/>
  </mergeCells>
  <pageMargins left="0.7" right="0.7" top="0.75" bottom="0.75" header="0.3" footer="0.3"/>
  <ignoredErrors>
    <ignoredError numberStoredAsText="1" sqref="A1:J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B56</v>
      </c>
      <c r="D2" t="str">
        <v>B62</v>
      </c>
      <c r="E2" t="str">
        <v>B73</v>
      </c>
    </row>
    <row r="3">
      <c r="A3" t="str">
        <v>C12</v>
      </c>
      <c r="B3" t="str">
        <v>G53</v>
      </c>
      <c r="C3" t="str">
        <v>G59</v>
      </c>
      <c r="D3" t="str">
        <v>E70</v>
      </c>
      <c r="E3" t="str">
        <v>F80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F80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2021-10-09T15:13:52Z</dcterms:modified>
  <cp:lastModifiedBy>ACER</cp:lastModifiedBy>
  <cp:lastPrinted>2014-12-05T03:23:20Z</cp:lastPrinted>
  <dc:creator>Windows User</dc:creator>
</cp:coreProperties>
</file>