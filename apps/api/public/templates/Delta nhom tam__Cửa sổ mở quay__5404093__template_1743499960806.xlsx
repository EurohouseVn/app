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DMQ2C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 rightToLeft="0"/>
  </sheetViews>
  <sheetData>
    <row r="2">
      <c r="B2" t="str">
        <v>BẢN VẼ SẢN XUẤT SNOVN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mở quay 2 cánh liền vách</v>
      </c>
    </row>
    <row r="5">
      <c r="B5" t="str">
        <v>Rộng Cửa (B) (mm)</v>
      </c>
      <c r="C5">
        <v>1800</v>
      </c>
      <c r="F5" t="str">
        <v>Giá kính (VNĐ/m2)</v>
      </c>
      <c r="G5">
        <v>245000</v>
      </c>
      <c r="H5">
        <f>C10</f>
        <v>1</v>
      </c>
      <c r="I5">
        <f>C13</f>
        <v>4.68</v>
      </c>
    </row>
    <row r="6">
      <c r="B6" t="str">
        <v>Cao Cửa (H) (mm)</v>
      </c>
      <c r="C6">
        <v>2600</v>
      </c>
      <c r="F6" t="str">
        <v>(1)-Cánh ĐI ngậm khung</v>
      </c>
      <c r="G6">
        <v>6</v>
      </c>
      <c r="H6" t="str">
        <v>(1)-Cánh cửa đi ngậm khung</v>
      </c>
      <c r="I6">
        <v>-5</v>
      </c>
    </row>
    <row r="7">
      <c r="B7" t="str">
        <v>H1 (mm)</v>
      </c>
      <c r="C7">
        <v>2250</v>
      </c>
      <c r="F7" t="str">
        <v>(2)-Cánh SỔ ngậm khung</v>
      </c>
      <c r="G7">
        <v>6</v>
      </c>
      <c r="H7" t="str">
        <v>(2)-Cánh cửa sổ ngậm khung</v>
      </c>
      <c r="I7">
        <v>-5</v>
      </c>
    </row>
    <row r="8">
      <c r="B8" t="str">
        <v>Hở chân cánh (mm)</v>
      </c>
      <c r="C8">
        <v>7</v>
      </c>
      <c r="F8" t="str">
        <v>(3)-Hở giữa cửa ĐI 2 (4) cánh</v>
      </c>
      <c r="G8">
        <v>5</v>
      </c>
      <c r="H8" t="str">
        <v>(3)-Khe hở giữa cửa đi 2 (4) cánh</v>
      </c>
      <c r="I8">
        <v>2</v>
      </c>
    </row>
    <row r="9">
      <c r="B9" t="str">
        <v>Loại kính</v>
      </c>
      <c r="C9">
        <v>41</v>
      </c>
      <c r="F9" t="str">
        <v>(4)-Hở cánh cửa ĐI 4 cánh</v>
      </c>
      <c r="G9">
        <v>5.5</v>
      </c>
      <c r="H9" t="str">
        <v>(4)-Khe hở cánh cửa đi 4 cánh</v>
      </c>
      <c r="I9">
        <v>2</v>
      </c>
    </row>
    <row r="10">
      <c r="B10" t="str">
        <v>Số bộ</v>
      </c>
      <c r="C10">
        <v>1</v>
      </c>
      <c r="D10">
        <f>C6-C7</f>
        <v>350</v>
      </c>
      <c r="F10" t="str">
        <v>(5)-Hở giữa cửa SỔ 2 cánh</v>
      </c>
      <c r="G10">
        <v>5</v>
      </c>
      <c r="H10" t="str">
        <v>(5)-Khe hở giữa cửa sổ 2 cánh</v>
      </c>
      <c r="I10">
        <v>4</v>
      </c>
    </row>
    <row r="11">
      <c r="B11" t="str">
        <v>Giá nhôm (VNĐ/Kg)</v>
      </c>
      <c r="C11">
        <v>90000</v>
      </c>
      <c r="F11" t="str">
        <v>(-)</v>
      </c>
      <c r="G11">
        <v>0</v>
      </c>
      <c r="H11" t="str">
        <v>(6)-Cánh cửa trượt ngậm khung</v>
      </c>
      <c r="I11">
        <v>0</v>
      </c>
    </row>
    <row r="12">
      <c r="B12" t="str">
        <v>Giá kính (VNĐ/m2)</v>
      </c>
      <c r="C12">
        <v>245000</v>
      </c>
      <c r="F12" t="str">
        <v>(7)-Khe hở kính</v>
      </c>
      <c r="G12">
        <v>8</v>
      </c>
      <c r="H12" t="str">
        <v>(7)-Khe hở kính</v>
      </c>
      <c r="I12">
        <v>6</v>
      </c>
    </row>
    <row r="13">
      <c r="B13" t="str">
        <v>Diện tích/bộ</v>
      </c>
      <c r="C13">
        <f>C5*C6/10^6</f>
        <v>4.68</v>
      </c>
      <c r="F13" t="str">
        <v>(8)-Cao khung ĐI quay (tính cánh)</v>
      </c>
      <c r="G13">
        <v>34</v>
      </c>
      <c r="H13" t="str">
        <v>(8)-Cao khung mở quay (tính cánh)</v>
      </c>
      <c r="I13">
        <v>33</v>
      </c>
    </row>
    <row r="14">
      <c r="B14" t="str">
        <v>Tổng diện tích</v>
      </c>
      <c r="C14">
        <f>C13*C10</f>
        <v>4.68</v>
      </c>
      <c r="E14">
        <f>C5</f>
        <v>1800</v>
      </c>
      <c r="F14" t="str">
        <v>(9)-Cao khung ĐI quay (tính đố)</v>
      </c>
      <c r="G14">
        <v>23</v>
      </c>
      <c r="H14" t="str">
        <v>(9)-Cao khung mở quay (tính đố)</v>
      </c>
      <c r="I14">
        <v>28</v>
      </c>
    </row>
    <row r="15">
      <c r="F15" t="str">
        <v>(8.1)-Cao khung SỔ quay (tính cánh)</v>
      </c>
      <c r="G15">
        <v>34</v>
      </c>
      <c r="H15" t="str">
        <v>(10)-Cao đố chia vách (tính cánh)</v>
      </c>
      <c r="I15">
        <v>22</v>
      </c>
    </row>
    <row r="16">
      <c r="F16" t="str">
        <v>(9.1)-Cao khung SỔ quay (tính đố)</v>
      </c>
      <c r="G16">
        <v>23</v>
      </c>
      <c r="H16" t="str">
        <v>(11)-Cao đố chia vách (tính đố)</v>
      </c>
      <c r="I16">
        <v>12</v>
      </c>
    </row>
    <row r="17">
      <c r="F17" t="str">
        <v>(10)-Cao đố chia vách (tính cánh)</v>
      </c>
      <c r="G17">
        <v>37</v>
      </c>
      <c r="H17" t="str">
        <v>(12)-Cao cánh cửa đi (tính kính)</v>
      </c>
      <c r="I17">
        <v>-1</v>
      </c>
    </row>
    <row r="18">
      <c r="F18" t="str">
        <v>(11)-Cao đố chia vách (tính đố)</v>
      </c>
      <c r="G18">
        <v>15</v>
      </c>
      <c r="H18" t="str">
        <v>(13)-Cao cánh cửa đi (tính đố cánh)</v>
      </c>
      <c r="I18">
        <v>10</v>
      </c>
    </row>
    <row r="19">
      <c r="F19" t="str">
        <v>(12)-Cao cánh ĐI quay (tính kính, nẹp)</v>
      </c>
      <c r="G19">
        <v>97</v>
      </c>
      <c r="H19" t="str">
        <v>(14)-Cao đố cánh cửa đi</v>
      </c>
      <c r="I19">
        <v>0</v>
      </c>
    </row>
    <row r="20">
      <c r="F20" t="str">
        <v>(13)-Tính nối đố 1 = đố trừ</v>
      </c>
      <c r="G20">
        <v>60</v>
      </c>
      <c r="H20" t="str">
        <v>(15)-Cao cánh cửa sổ (tính kính)</v>
      </c>
      <c r="I20">
        <v>0</v>
      </c>
    </row>
    <row r="21">
      <c r="F21" t="str">
        <v>(14)-Tính nối đố 2 = đố 1 +</v>
      </c>
      <c r="G21">
        <v>0</v>
      </c>
      <c r="H21" t="str">
        <v>(16)-Cao nẹp (tính nẹp vách)</v>
      </c>
      <c r="I21">
        <v>15</v>
      </c>
    </row>
    <row r="22">
      <c r="F22" t="str">
        <v>(15)-Cao cánh SỔ quay (tính kính)</v>
      </c>
      <c r="G22">
        <v>0</v>
      </c>
      <c r="H22" t="str">
        <v>(17)-Cao khung cửa trượt</v>
      </c>
      <c r="I22">
        <v>0</v>
      </c>
    </row>
    <row r="23">
      <c r="F23" t="str">
        <v>(16)-Cao nẹp (tính nẹp vách, cánh)</v>
      </c>
      <c r="G23">
        <v>19</v>
      </c>
      <c r="H23" t="str">
        <v>(18)-Cao cánh cửa trượt (tính cánh)</v>
      </c>
      <c r="I23">
        <v>0</v>
      </c>
    </row>
    <row r="24">
      <c r="F24" t="str">
        <v>(17)-Cộng phào</v>
      </c>
      <c r="G24">
        <v>41</v>
      </c>
      <c r="H24" t="str">
        <v>(19)-Cao cánh cửa trượt (tính kính)</v>
      </c>
      <c r="I24">
        <v>0</v>
      </c>
    </row>
    <row r="25">
      <c r="F25" t="str">
        <v>Phào (kg/m)</v>
      </c>
      <c r="G25">
        <v>0.45</v>
      </c>
      <c r="H25" t="str">
        <v>(20)-Chiều dày hèm đối đầu cửa trượt</v>
      </c>
      <c r="I25">
        <v>0</v>
      </c>
    </row>
    <row r="26">
      <c r="F26" t="str">
        <v>Nối đố 1 (kg/m)</v>
      </c>
      <c r="G26">
        <v>0</v>
      </c>
      <c r="H26" t="str">
        <v>(21)-Chiều dày thanh nối khung</v>
      </c>
      <c r="I26">
        <v>2</v>
      </c>
    </row>
    <row r="27">
      <c r="F27" t="str">
        <v>Nối đố 2 (kg/m)</v>
      </c>
      <c r="G27">
        <v>0</v>
      </c>
      <c r="H27" t="str">
        <v>Khung cửa mở quay (kg/m)</v>
      </c>
      <c r="I27">
        <v>0.834</v>
      </c>
    </row>
    <row r="28">
      <c r="F28" t="str">
        <v>(18)-Cộng thêm nẹp vách</v>
      </c>
      <c r="G28">
        <v>0</v>
      </c>
      <c r="H28" t="str">
        <v>Đố chia khung (kg/m)</v>
      </c>
      <c r="I28">
        <v>1.4</v>
      </c>
    </row>
    <row r="29">
      <c r="F29" t="str">
        <v>(22)-Tính đố động = Cánh trừ</v>
      </c>
      <c r="G29">
        <v>30</v>
      </c>
      <c r="H29" t="str">
        <v>Cánh cửa sổ quay (kg/m)</v>
      </c>
      <c r="I29">
        <v>0</v>
      </c>
    </row>
    <row r="30">
      <c r="F30" t="str">
        <v>(23)-Tính ốp chân = Cánh trừ</v>
      </c>
      <c r="G30">
        <v>30</v>
      </c>
      <c r="H30" t="str">
        <v>Cánh đi mở quay (kg/m)</v>
      </c>
      <c r="I30">
        <v>0.534</v>
      </c>
    </row>
    <row r="31">
      <c r="F31" t="str">
        <v>Ốp đáy cánh cửa đi (kg/m)</v>
      </c>
      <c r="G31">
        <v>0.45</v>
      </c>
      <c r="H31" t="str">
        <v>Đố cánh cửa đi (kg/m)</v>
      </c>
      <c r="I31">
        <v>0.3</v>
      </c>
    </row>
    <row r="32">
      <c r="F32" t="str">
        <v>Khung cửa ĐI + nối khung (kg/m)</v>
      </c>
      <c r="G32">
        <v>3.217</v>
      </c>
      <c r="H32" t="str">
        <v>Đố động (kg/m)</v>
      </c>
      <c r="I32">
        <v>0.2</v>
      </c>
    </row>
    <row r="33">
      <c r="F33" t="str">
        <v>Khung cửa SỔ + nối khung (kg/m)</v>
      </c>
      <c r="G33">
        <v>3.217</v>
      </c>
      <c r="H33" t="str">
        <v>Ốp đáy (kg/m)</v>
      </c>
      <c r="I33">
        <v>0.1</v>
      </c>
    </row>
    <row r="34">
      <c r="F34" t="str">
        <v>Đố chia khung (kg/m)</v>
      </c>
      <c r="G34">
        <v>0.949</v>
      </c>
      <c r="H34" t="str">
        <v>Nẹp vách (kg/m)</v>
      </c>
      <c r="I34">
        <v>0.25</v>
      </c>
    </row>
    <row r="35">
      <c r="F35" t="str">
        <v>Cánh cửa SỔ quay (kg/m)</v>
      </c>
      <c r="G35">
        <v>0</v>
      </c>
      <c r="H35" t="str">
        <v>Nối khung (kg/m)</v>
      </c>
      <c r="I35">
        <v>0</v>
      </c>
    </row>
    <row r="36">
      <c r="F36" t="str">
        <v>Cánh cửa ĐI (kg/m)</v>
      </c>
      <c r="G36">
        <v>1.5339999999999998</v>
      </c>
      <c r="H36" t="str">
        <v>Khung cửa trượt (kg/m)</v>
      </c>
      <c r="I36">
        <v>0</v>
      </c>
    </row>
    <row r="37">
      <c r="F37" t="str">
        <v>Đố cánh cửa ĐI (kg/m)</v>
      </c>
      <c r="G37">
        <v>0</v>
      </c>
      <c r="H37" t="str">
        <v>Cánh cửa trượt (kg/m)</v>
      </c>
      <c r="I37">
        <v>0</v>
      </c>
    </row>
    <row r="38">
      <c r="F38" t="str">
        <v>Đố động (kg/m)</v>
      </c>
      <c r="G38">
        <v>0.934</v>
      </c>
      <c r="H38" t="str">
        <v>Móc cánh cửa trượt (kg/m)</v>
      </c>
      <c r="I38">
        <v>0</v>
      </c>
    </row>
    <row r="39">
      <c r="F39" t="str">
        <v>(-)</v>
      </c>
      <c r="G39">
        <v>0</v>
      </c>
      <c r="H39" t="str">
        <v>Hèm đối đầu (kg/m)</v>
      </c>
      <c r="I39">
        <v>0</v>
      </c>
    </row>
    <row r="40">
      <c r="F40" t="str">
        <v>Nẹp cánh (kg/m)</v>
      </c>
      <c r="G40">
        <v>0.267</v>
      </c>
      <c r="H40" t="str">
        <v>(22)-Tính đố động= cánh trừ</v>
      </c>
      <c r="I40">
        <v>0</v>
      </c>
    </row>
    <row r="41">
      <c r="F41" t="str">
        <v>Nẹp vách (kg/m)</v>
      </c>
      <c r="G41">
        <v>0.267</v>
      </c>
      <c r="H41" t="str">
        <v>(23)-Cửa trượt ngậm thêm khung</v>
      </c>
      <c r="I41">
        <v>0</v>
      </c>
    </row>
    <row r="42">
      <c r="F42" t="str">
        <v>(-)</v>
      </c>
      <c r="G42">
        <v>0</v>
      </c>
      <c r="H42" t="str">
        <v>(24)-Tính hèm chân= cánh trừ</v>
      </c>
      <c r="I42">
        <v>0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đi</v>
      </c>
      <c r="C46" t="str">
        <v>Ngang trên</v>
      </c>
      <c r="D46" t="str">
        <v>TOKB55</v>
      </c>
      <c r="E46" t="str">
        <v>45-45</v>
      </c>
      <c r="F46">
        <f>$C$10*J46</f>
        <v>1</v>
      </c>
      <c r="G46">
        <f>C5</f>
        <v>1800</v>
      </c>
      <c r="H46">
        <f>$I$27</f>
        <v>0.834</v>
      </c>
      <c r="I46">
        <f>F46*G46*H46/1000</f>
        <v>1.5012</v>
      </c>
      <c r="J46">
        <v>1</v>
      </c>
    </row>
    <row r="47">
      <c r="B47" t="str">
        <v>Khung bao cửa đi</v>
      </c>
      <c r="C47" t="str">
        <v>Đứng</v>
      </c>
      <c r="D47" t="str">
        <v>TOKB55</v>
      </c>
      <c r="E47" t="str">
        <v>90-45-90</v>
      </c>
      <c r="F47">
        <f>$C$10*J47</f>
        <v>2</v>
      </c>
      <c r="G47">
        <f>C6</f>
        <v>2600</v>
      </c>
      <c r="H47">
        <f>$I$27</f>
        <v>0.834</v>
      </c>
      <c r="I47">
        <f>F47*G47*H47/1000</f>
        <v>4.3368</v>
      </c>
      <c r="J47">
        <v>2</v>
      </c>
    </row>
    <row r="48">
      <c r="B48" t="str">
        <v>Đố chia khung</v>
      </c>
      <c r="C48" t="str">
        <v>Ngang</v>
      </c>
      <c r="D48" t="str">
        <v>TOTK55</v>
      </c>
      <c r="E48" t="str">
        <v>90-90</v>
      </c>
      <c r="F48">
        <f>$C$10*J48</f>
        <v>1</v>
      </c>
      <c r="G48">
        <f>G46-I14*2</f>
        <v>1744</v>
      </c>
      <c r="H48">
        <f>$I$28</f>
        <v>1.4</v>
      </c>
      <c r="I48">
        <f>F48*G48*H48/1000</f>
        <v>2.4415999999999998</v>
      </c>
      <c r="J48">
        <v>1</v>
      </c>
    </row>
    <row r="49">
      <c r="B49" t="str">
        <v>Đố chia khung</v>
      </c>
      <c r="C49" t="str">
        <v>Đứng</v>
      </c>
      <c r="D49" t="str">
        <v>TOTK55</v>
      </c>
      <c r="E49" t="str">
        <v>90-90</v>
      </c>
      <c r="F49">
        <f>$C$10*J49</f>
        <v>1</v>
      </c>
      <c r="G49">
        <f>D10-I14-I16/2</f>
        <v>316</v>
      </c>
      <c r="H49">
        <f>$I$28</f>
        <v>1.4</v>
      </c>
      <c r="I49">
        <f>F49*G49*H49/1000</f>
        <v>0.44239999999999996</v>
      </c>
      <c r="J49">
        <v>1</v>
      </c>
    </row>
    <row r="50">
      <c r="B50" t="str">
        <v>Cánh phẳng</v>
      </c>
      <c r="C50" t="str">
        <v>Ngang</v>
      </c>
      <c r="D50" t="str">
        <v>DTC45</v>
      </c>
      <c r="E50" t="str">
        <v>45-45</v>
      </c>
      <c r="F50">
        <f>$C$10*J50</f>
        <v>4</v>
      </c>
      <c r="G50">
        <f>G46/2-I13+I6-I8/2</f>
        <v>861</v>
      </c>
      <c r="H50">
        <f>$I$30</f>
        <v>0.534</v>
      </c>
      <c r="I50">
        <f>F50*G50*H50/1000</f>
        <v>1.839096</v>
      </c>
      <c r="J50">
        <v>4</v>
      </c>
    </row>
    <row r="51">
      <c r="B51" t="str">
        <v>Cánh phẳng</v>
      </c>
      <c r="C51" t="str">
        <v>Đứng</v>
      </c>
      <c r="D51" t="str">
        <v>DTC45</v>
      </c>
      <c r="E51" t="str">
        <v>45-45</v>
      </c>
      <c r="F51">
        <f>$C$10*J51</f>
        <v>4</v>
      </c>
      <c r="G51">
        <f>G47-D10-I15/2+I6-C8</f>
        <v>2227</v>
      </c>
      <c r="H51">
        <f>$I$30</f>
        <v>0.534</v>
      </c>
      <c r="I51">
        <f>F51*G51*H51/1000</f>
        <v>4.756872</v>
      </c>
      <c r="J51">
        <v>4</v>
      </c>
    </row>
    <row r="52">
      <c r="B52" t="str">
        <v>Ốp che khuôn</v>
      </c>
      <c r="C52" t="str">
        <v>Ngang</v>
      </c>
      <c r="D52" t="str">
        <v>LTQ180</v>
      </c>
      <c r="E52" t="str">
        <v>90-90</v>
      </c>
      <c r="F52">
        <f>$C$10*J52</f>
        <v>2</v>
      </c>
      <c r="G52">
        <f>G50</f>
        <v>861</v>
      </c>
      <c r="H52">
        <f>$I$33</f>
        <v>0.1</v>
      </c>
      <c r="I52">
        <f>F52*G52*H52/1000</f>
        <v>0.17220000000000002</v>
      </c>
      <c r="J52">
        <v>2</v>
      </c>
    </row>
    <row r="53">
      <c r="B53" t="str">
        <v>Ốp che khuôn</v>
      </c>
      <c r="C53" t="str">
        <v>Đứng</v>
      </c>
      <c r="D53" t="str">
        <v>LTQ180</v>
      </c>
      <c r="E53" t="str">
        <v>90-90</v>
      </c>
      <c r="F53">
        <f>$C$10*J53</f>
        <v>2</v>
      </c>
      <c r="G53">
        <f>G51</f>
        <v>2227</v>
      </c>
      <c r="H53">
        <f>$I$33</f>
        <v>0.1</v>
      </c>
      <c r="I53">
        <f>F53*G53*H53/1000</f>
        <v>0.4454</v>
      </c>
      <c r="J53">
        <v>2</v>
      </c>
    </row>
    <row r="54">
      <c r="B54" t="str">
        <v>Đố động</v>
      </c>
      <c r="C54" t="str">
        <v>Đứng</v>
      </c>
      <c r="D54" t="str">
        <v>DTD2C</v>
      </c>
      <c r="E54" t="str">
        <v>90-90</v>
      </c>
      <c r="F54">
        <f>$C$10*J54</f>
        <v>1</v>
      </c>
      <c r="G54">
        <f>G51-I40</f>
        <v>2227</v>
      </c>
      <c r="H54">
        <f>$I$32</f>
        <v>0.2</v>
      </c>
      <c r="I54">
        <f>F54*G54*H54/1000</f>
        <v>0.4454</v>
      </c>
      <c r="J54">
        <v>1</v>
      </c>
    </row>
    <row r="55">
      <c r="B55" t="str">
        <v>Nẹp vách</v>
      </c>
      <c r="C55" t="str">
        <v>Ngang</v>
      </c>
      <c r="D55" t="str">
        <v>TOS27</v>
      </c>
      <c r="E55" t="str">
        <v>90-90</v>
      </c>
      <c r="F55">
        <f>$C$10*J55</f>
        <v>4</v>
      </c>
      <c r="G55">
        <f>G46/2-I13-I15/2</f>
        <v>856</v>
      </c>
      <c r="H55">
        <f>$I$34</f>
        <v>0.25</v>
      </c>
      <c r="I55">
        <f>F55*G55*H55/1000</f>
        <v>0.856</v>
      </c>
      <c r="J55">
        <v>4</v>
      </c>
    </row>
    <row r="56">
      <c r="B56" t="str">
        <v>Nẹp vách</v>
      </c>
      <c r="C56" t="str">
        <v>Đứng</v>
      </c>
      <c r="D56" t="str">
        <v>TOS27</v>
      </c>
      <c r="E56" t="str">
        <v>90-90</v>
      </c>
      <c r="F56">
        <f>$C$10*J56</f>
        <v>4</v>
      </c>
      <c r="G56">
        <f>D10-I13-I15/2-I21*2</f>
        <v>276</v>
      </c>
      <c r="H56">
        <f>$I$34</f>
        <v>0.25</v>
      </c>
      <c r="I56">
        <f>F56*G56*H56/1000</f>
        <v>0.276</v>
      </c>
      <c r="J56">
        <v>4</v>
      </c>
    </row>
    <row r="59">
      <c r="B59" t="str">
        <v>KÍCH THƯỚC CẮT KÍNH</v>
      </c>
    </row>
    <row r="60">
      <c r="B60" t="str">
        <v>Tên kính</v>
      </c>
      <c r="C60" t="str">
        <v>Rộng</v>
      </c>
      <c r="D60" t="str">
        <v>Cao</v>
      </c>
      <c r="E60" t="str">
        <v>Số lượng</v>
      </c>
      <c r="F60" t="str">
        <v>Diện tích kính (m2)</v>
      </c>
      <c r="G60" t="str">
        <v>Vị trí</v>
      </c>
    </row>
    <row r="61">
      <c r="B61">
        <f>C9</f>
        <v>41</v>
      </c>
      <c r="C61">
        <f>G50-I17*2-I12</f>
        <v>857</v>
      </c>
      <c r="D61">
        <f>G51-I17*2-I12</f>
        <v>2223</v>
      </c>
      <c r="E61">
        <f>2*C10</f>
        <v>2</v>
      </c>
      <c r="F61">
        <f>E61*D61*C61/10^6</f>
        <v>3.810222</v>
      </c>
      <c r="G61" t="str">
        <v>cánh</v>
      </c>
    </row>
    <row r="62">
      <c r="B62">
        <f>C9</f>
        <v>41</v>
      </c>
      <c r="C62">
        <f>G46/2-I13-I15/2-I12</f>
        <v>850</v>
      </c>
      <c r="D62">
        <f>D10-I13-I15/2-I12</f>
        <v>300</v>
      </c>
      <c r="E62">
        <f>2*C10</f>
        <v>2</v>
      </c>
      <c r="F62">
        <f>E62*D62*C62/10^6</f>
        <v>0.51</v>
      </c>
      <c r="G62" t="str">
        <v>vách</v>
      </c>
    </row>
    <row r="65">
      <c r="B65" t="str">
        <v>PHỤ KIỆN</v>
      </c>
      <c r="C65" t="str">
        <v>đi 2 cánh</v>
      </c>
    </row>
    <row r="66">
      <c r="B66" t="str">
        <v>Tên</v>
      </c>
      <c r="C66" t="str">
        <v>Mã</v>
      </c>
      <c r="D66" t="str">
        <v>ĐVT</v>
      </c>
      <c r="E66" t="str">
        <v>Số lượng</v>
      </c>
    </row>
    <row r="67">
      <c r="B67" t="str">
        <v>Bản lề cửa đi SN</v>
      </c>
      <c r="C67" t="str">
        <v>SN-DBL</v>
      </c>
      <c r="D67" t="str">
        <v>Chiếc</v>
      </c>
      <c r="E67">
        <f>H67*$H$5</f>
        <v>6</v>
      </c>
      <c r="H67">
        <v>6</v>
      </c>
    </row>
    <row r="68">
      <c r="B68" t="str">
        <v>Bộ khóa đa điểm cửa đi SN</v>
      </c>
      <c r="C68" t="str">
        <v>SN-DKDD</v>
      </c>
      <c r="D68" t="str">
        <v>Bộ</v>
      </c>
      <c r="E68">
        <f>H68*$H$5</f>
        <v>1</v>
      </c>
      <c r="H68">
        <v>1</v>
      </c>
    </row>
    <row r="69">
      <c r="B69" t="str">
        <v>Đầu khóa biên thấp cửa đi SN</v>
      </c>
      <c r="C69" t="str">
        <v>SN-DKBT</v>
      </c>
      <c r="D69" t="str">
        <v>Chiếc</v>
      </c>
      <c r="E69">
        <f>H69*$H$5</f>
        <v>2</v>
      </c>
      <c r="H69">
        <v>2</v>
      </c>
    </row>
    <row r="70">
      <c r="B70" t="str">
        <v>Vấu 2 cánh cửa đi SN</v>
      </c>
      <c r="C70" t="str">
        <v>SN-DV2C</v>
      </c>
      <c r="D70" t="str">
        <v>Chiếc</v>
      </c>
      <c r="E70">
        <f>H70*$H$5</f>
        <v>2</v>
      </c>
      <c r="H70">
        <v>2</v>
      </c>
    </row>
    <row r="71">
      <c r="B71" t="str">
        <v>Chốt cánh phụ 500 cửa đi SN</v>
      </c>
      <c r="C71" t="str">
        <v>SN-DC500</v>
      </c>
      <c r="D71" t="str">
        <v>Chiếc</v>
      </c>
      <c r="E71">
        <f>H71*$H$5</f>
        <v>1</v>
      </c>
      <c r="H71">
        <v>1</v>
      </c>
    </row>
    <row r="72">
      <c r="B72" t="str">
        <v>Chốt cánh phụ 220 cửa đi SN</v>
      </c>
      <c r="C72" t="str">
        <v>SN-DC220</v>
      </c>
      <c r="D72" t="str">
        <v>Chiếc</v>
      </c>
      <c r="E72">
        <f>H72*$H$5</f>
        <v>1</v>
      </c>
      <c r="H72">
        <v>1</v>
      </c>
    </row>
    <row r="73">
      <c r="B73" t="str">
        <v>Nắp bịt chân cánh cửa đi SN</v>
      </c>
      <c r="C73" t="str">
        <v>SN-DBC</v>
      </c>
      <c r="D73" t="str">
        <v>Cặp</v>
      </c>
      <c r="E73">
        <f>H73*$H$5</f>
        <v>2</v>
      </c>
      <c r="H73">
        <v>2</v>
      </c>
    </row>
    <row r="74">
      <c r="B74" t="str">
        <v>Nắp bịt đố động SN</v>
      </c>
      <c r="C74" t="str">
        <v>SN-BDD</v>
      </c>
      <c r="D74" t="str">
        <v>Cặp</v>
      </c>
      <c r="E74">
        <f>H74*$H$5</f>
        <v>1</v>
      </c>
      <c r="H74">
        <v>1</v>
      </c>
    </row>
    <row r="75">
      <c r="B75" t="str">
        <v>Ke nhảy khung mở quay SN</v>
      </c>
      <c r="C75" t="str">
        <v>SN-KNK</v>
      </c>
      <c r="D75" t="str">
        <v>Chiếc</v>
      </c>
      <c r="E75">
        <f>H75*$H$5</f>
        <v>2</v>
      </c>
      <c r="H75">
        <v>2</v>
      </c>
    </row>
    <row r="76">
      <c r="B76" t="str">
        <v>Ke nhảy cánh đi mở quay SN</v>
      </c>
      <c r="C76" t="str">
        <v>SN-DKNC</v>
      </c>
      <c r="D76" t="str">
        <v>Chiếc</v>
      </c>
      <c r="E76">
        <f>H76*$H$5</f>
        <v>8</v>
      </c>
      <c r="H76">
        <v>8</v>
      </c>
    </row>
    <row r="77">
      <c r="B77" t="str">
        <v>Ke tăng cứng SN</v>
      </c>
      <c r="C77" t="str">
        <v>SN-KTC</v>
      </c>
      <c r="D77" t="str">
        <v>Chiếc</v>
      </c>
      <c r="E77">
        <f>H77*$H$5</f>
        <v>8</v>
      </c>
      <c r="H77">
        <v>8</v>
      </c>
    </row>
    <row r="80">
      <c r="B80" t="str">
        <v>BẢNG TÍNH GIÁ THÀNH</v>
      </c>
    </row>
    <row r="81">
      <c r="B81" t="str">
        <v>Tên gọi</v>
      </c>
      <c r="C81" t="str">
        <v>Đơn vị tính</v>
      </c>
      <c r="D81" t="str">
        <v>Số lượng</v>
      </c>
      <c r="E81" t="str">
        <v>Đơn giá</v>
      </c>
      <c r="F81" t="str">
        <v>Thành tiền</v>
      </c>
    </row>
    <row r="82">
      <c r="B82" t="str">
        <v>Nhôm (VNĐ)</v>
      </c>
      <c r="C82" t="str">
        <v>Kg</v>
      </c>
      <c r="D82">
        <f>SUM(I46:I56)</f>
        <v>17.512968</v>
      </c>
      <c r="E82">
        <f>C11</f>
        <v>90000</v>
      </c>
      <c r="F82">
        <f>E82*D82</f>
        <v>1576167.12</v>
      </c>
    </row>
    <row r="83">
      <c r="B83" t="str">
        <v>Kính (VNĐ)</v>
      </c>
      <c r="C83" t="str">
        <v>m2</v>
      </c>
      <c r="D83">
        <f>SUM(F61:F62)</f>
        <v>4.320222</v>
      </c>
      <c r="E83">
        <f>C12</f>
        <v>245000</v>
      </c>
      <c r="F83">
        <f>E83*D83</f>
        <v>1058454.3900000001</v>
      </c>
    </row>
    <row r="84">
      <c r="B84" t="str">
        <v>Phụ Kiện (tự nhập) (VNĐ)</v>
      </c>
    </row>
    <row r="85">
      <c r="B85" t="str">
        <v>Vật Tư Phụ (tự nhập) (VNĐ)</v>
      </c>
    </row>
    <row r="86">
      <c r="B86" t="str">
        <v>Công Sản Xuất + Lắp Đặt (VNĐ)</v>
      </c>
    </row>
    <row r="87">
      <c r="B87" t="str">
        <v>Tổng (chưa tính hao hụt nhôm)</v>
      </c>
      <c r="F87">
        <f>SUM(F82:F86)</f>
        <v>2634621.5100000002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B59</v>
      </c>
      <c r="D2" t="str">
        <v>B65</v>
      </c>
      <c r="E2" t="str">
        <v>B80</v>
      </c>
    </row>
    <row r="3">
      <c r="A3" t="str">
        <v>C12</v>
      </c>
      <c r="B3" t="str">
        <v>G56</v>
      </c>
      <c r="C3" t="str">
        <v>G62</v>
      </c>
      <c r="D3" t="str">
        <v>E77</v>
      </c>
      <c r="E3" t="str">
        <v>F87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F87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2025-04-01T09:03:31Z</dcterms:modified>
  <cp:lastModifiedBy>Admin</cp:lastModifiedBy>
  <cp:lastPrinted>2014-12-05T03:23:20Z</cp:lastPrinted>
  <dc:creator>Windows User</dc:creator>
</cp:coreProperties>
</file>