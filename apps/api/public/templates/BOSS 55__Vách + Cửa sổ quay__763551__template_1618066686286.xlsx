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sheetData>
    <row r="2">
      <c r="B2" t="str">
        <v>BẢN VẼ SẢN XUẤT BOSS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2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C10</f>
        <v>1</v>
      </c>
      <c r="I5">
        <f>C13</f>
        <v>3.96</v>
      </c>
    </row>
    <row r="6">
      <c r="B6" t="str">
        <v>Cao Cửa (H) (mm)</v>
      </c>
      <c r="C6">
        <v>1800</v>
      </c>
      <c r="F6" t="str">
        <v>(1)-Cánh cửa đi ngậm khung</v>
      </c>
      <c r="G6">
        <v>7</v>
      </c>
    </row>
    <row r="7">
      <c r="B7" t="str">
        <v>B1 (mm)</v>
      </c>
      <c r="C7">
        <v>1300</v>
      </c>
      <c r="F7" t="str">
        <v>(2)-Cánh cửa sổ ngậm khung</v>
      </c>
      <c r="G7">
        <v>7</v>
      </c>
    </row>
    <row r="8">
      <c r="B8" t="str">
        <v>H1 (mm)</v>
      </c>
      <c r="C8">
        <v>1500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D10">
        <f>C7</f>
        <v>1300</v>
      </c>
      <c r="E10">
        <f>(C5-C7*2)/2</f>
        <v>-200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8</v>
      </c>
    </row>
    <row r="12">
      <c r="B12" t="str">
        <v>Giá kính (VNĐ/m2)</v>
      </c>
      <c r="C12">
        <v>245000</v>
      </c>
      <c r="F12" t="str">
        <v>(7)-Khe hở kính</v>
      </c>
      <c r="G12">
        <v>8</v>
      </c>
    </row>
    <row r="13">
      <c r="B13" t="str">
        <v>Diện tích/bộ</v>
      </c>
      <c r="C13">
        <f>C5*C6/10^6</f>
        <v>3.96</v>
      </c>
      <c r="F13" t="str">
        <v>(8)-Cao khung mở quay (tính cánh)</v>
      </c>
      <c r="G13">
        <v>31</v>
      </c>
    </row>
    <row r="14">
      <c r="B14" t="str">
        <v>Tổng diện tích</v>
      </c>
      <c r="C14">
        <f>C13*C10</f>
        <v>3.96</v>
      </c>
      <c r="E14">
        <f>C5</f>
        <v>2200</v>
      </c>
      <c r="F14" t="str">
        <v>(9)-Cao khung mở quay (tính đố)</v>
      </c>
      <c r="G14">
        <v>19</v>
      </c>
    </row>
    <row r="15">
      <c r="F15" t="str">
        <v>(10)-Cao đố chia vách (tính cánh)</v>
      </c>
      <c r="G15">
        <v>38.5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kính)</v>
      </c>
      <c r="G17">
        <v>68</v>
      </c>
    </row>
    <row r="18">
      <c r="F18" t="str">
        <v>(13)-Cao cánh cửa đi (tính đố cánh)</v>
      </c>
      <c r="G18">
        <v>73</v>
      </c>
    </row>
    <row r="19">
      <c r="F19" t="str">
        <v>(14)-Cao đố cánh cửa đi</v>
      </c>
      <c r="G19">
        <v>46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  <c r="H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58.4</v>
      </c>
    </row>
    <row r="24">
      <c r="F24" t="str">
        <v>(19)-Cao cánh cửa trượt (tính kính)</v>
      </c>
      <c r="G24">
        <v>43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0.736</v>
      </c>
    </row>
    <row r="28">
      <c r="F28" t="str">
        <v>Đố chia khung (kg/m)</v>
      </c>
      <c r="G28">
        <v>0.867</v>
      </c>
    </row>
    <row r="29">
      <c r="F29" t="str">
        <v>Cánh cửa sổ quay (kg/m)</v>
      </c>
      <c r="G29">
        <v>0.93</v>
      </c>
    </row>
    <row r="30">
      <c r="F30" t="str">
        <v>Cánh đi mở quay (kg/m)</v>
      </c>
      <c r="G30">
        <v>1.029</v>
      </c>
    </row>
    <row r="31">
      <c r="F31" t="str">
        <v>Đố cánh cửa đi (kg/m)</v>
      </c>
      <c r="G31">
        <v>1.073</v>
      </c>
    </row>
    <row r="32">
      <c r="F32" t="str">
        <v>Đố động (kg/m)</v>
      </c>
      <c r="G32">
        <v>0.523</v>
      </c>
    </row>
    <row r="33">
      <c r="F33" t="str">
        <v>Ốp đáy (kg/m)</v>
      </c>
      <c r="G33">
        <v>0.267</v>
      </c>
    </row>
    <row r="34">
      <c r="F34" t="str">
        <v>Nẹp vách (kg/m)</v>
      </c>
      <c r="G34">
        <v>0.259</v>
      </c>
    </row>
    <row r="35">
      <c r="F35" t="str">
        <v>Nối khung (kg/m)</v>
      </c>
      <c r="G35">
        <v>0.306</v>
      </c>
    </row>
    <row r="36">
      <c r="F36" t="str">
        <v>Khung cửa trượt (kg/m)</v>
      </c>
      <c r="G36">
        <v>0.8</v>
      </c>
    </row>
    <row r="37">
      <c r="F37" t="str">
        <v>Cánh cửa trượt (kg/m)</v>
      </c>
      <c r="G37">
        <v>0.683</v>
      </c>
    </row>
    <row r="38">
      <c r="F38" t="str">
        <v>Móc cánh cửa trượt (kg/m)</v>
      </c>
      <c r="G38">
        <v>0.256</v>
      </c>
    </row>
    <row r="39">
      <c r="F39" t="str">
        <v>Hèm đối đầu (kg/m)</v>
      </c>
      <c r="G39">
        <v>0.402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TJ55-Khung cửa mở quay</v>
      </c>
      <c r="C46" t="str">
        <v>Ngang</v>
      </c>
      <c r="D46" t="str">
        <v>TTS-TJ31</v>
      </c>
      <c r="E46" t="str">
        <v>45-45</v>
      </c>
      <c r="F46">
        <f>$C$10*J46</f>
        <v>2</v>
      </c>
      <c r="G46">
        <f>C5</f>
        <v>2200</v>
      </c>
      <c r="H46">
        <f>$G$27</f>
        <v>0.736</v>
      </c>
      <c r="I46">
        <f>F46*G46*H46/1000</f>
        <v>3.2384</v>
      </c>
      <c r="J46">
        <v>2</v>
      </c>
    </row>
    <row r="47">
      <c r="B47" t="str">
        <v>TJ55-Khung cửa mở quay</v>
      </c>
      <c r="C47" t="str">
        <v>Đứng</v>
      </c>
      <c r="D47" t="str">
        <v>TTS-TJ31</v>
      </c>
      <c r="E47" t="str">
        <v>45-45</v>
      </c>
      <c r="F47">
        <f>$C$10*J47</f>
        <v>2</v>
      </c>
      <c r="G47">
        <f>C6</f>
        <v>1800</v>
      </c>
      <c r="H47">
        <f>$G$27</f>
        <v>0.736</v>
      </c>
      <c r="I47">
        <f>F47*G47*H47/1000</f>
        <v>2.6496</v>
      </c>
      <c r="J47">
        <v>2</v>
      </c>
    </row>
    <row r="48">
      <c r="B48" t="str">
        <v>TJ55-Đố chia khung</v>
      </c>
      <c r="C48" t="str">
        <v>Ngang</v>
      </c>
      <c r="D48" t="str">
        <v>TTS-TJ32</v>
      </c>
      <c r="E48" t="str">
        <v>90-90</v>
      </c>
      <c r="F48">
        <f>$C$10*J48</f>
        <v>1</v>
      </c>
      <c r="G48">
        <f>C5-G14*2</f>
        <v>2162</v>
      </c>
      <c r="H48">
        <f>$G$28</f>
        <v>0.867</v>
      </c>
      <c r="I48">
        <f>F48*G48*H48/1000</f>
        <v>1.8744539999999998</v>
      </c>
      <c r="J48">
        <v>1</v>
      </c>
    </row>
    <row r="49">
      <c r="B49" t="str">
        <v>TJ55-Đố chia khung</v>
      </c>
      <c r="C49" t="str">
        <v>Đứng</v>
      </c>
      <c r="D49" t="str">
        <v>TTS-TJ32</v>
      </c>
      <c r="E49" t="str">
        <v>90-90</v>
      </c>
      <c r="F49">
        <f>$C$10*J49</f>
        <v>1</v>
      </c>
      <c r="G49">
        <f>C8-G14-G16/2</f>
        <v>1473.5</v>
      </c>
      <c r="H49">
        <f>$G$28</f>
        <v>0.867</v>
      </c>
      <c r="I49">
        <f>F49*G49*H49/1000</f>
        <v>1.2775245</v>
      </c>
      <c r="J49">
        <v>1</v>
      </c>
    </row>
    <row r="50">
      <c r="B50" t="str">
        <v>TJ55-Cánh cửa sổ quay</v>
      </c>
      <c r="C50" t="str">
        <v>Ngang</v>
      </c>
      <c r="D50" t="str">
        <v>TTS-TJ40</v>
      </c>
      <c r="E50" t="str">
        <v>45-45</v>
      </c>
      <c r="F50">
        <f>$C$10*J50</f>
        <v>4</v>
      </c>
      <c r="G50">
        <f>(C7-G13-G15/2+G7*2-G10)/2</f>
        <v>629.375</v>
      </c>
      <c r="H50">
        <f>$G$29</f>
        <v>0.93</v>
      </c>
      <c r="I50">
        <f>F50*G50*H50/1000</f>
        <v>2.341275</v>
      </c>
      <c r="J50">
        <v>4</v>
      </c>
    </row>
    <row r="51">
      <c r="B51" t="str">
        <v>TJ55-Cánh cửa sổ quay</v>
      </c>
      <c r="C51" t="str">
        <v>Đứng</v>
      </c>
      <c r="D51" t="str">
        <v>TTS-TJ40</v>
      </c>
      <c r="E51" t="str">
        <v>45-45</v>
      </c>
      <c r="F51">
        <f>$C$10*J51</f>
        <v>4</v>
      </c>
      <c r="G51">
        <f>C8-G13-G15/2+G7*2</f>
        <v>1463.75</v>
      </c>
      <c r="H51">
        <f>$G$29</f>
        <v>0.93</v>
      </c>
      <c r="I51">
        <f>F51*G51*H51/1000</f>
        <v>5.445150000000001</v>
      </c>
      <c r="J51">
        <v>4</v>
      </c>
    </row>
    <row r="52">
      <c r="B52" t="str">
        <v>TJ55-Đố động</v>
      </c>
      <c r="C52" t="str">
        <v>Đứng</v>
      </c>
      <c r="D52" t="str">
        <v>TTS-TJ12</v>
      </c>
      <c r="E52" t="str">
        <v>90-90</v>
      </c>
      <c r="F52">
        <f>$C$10*J52</f>
        <v>1</v>
      </c>
      <c r="G52">
        <f>G51-H21*2</f>
        <v>1425.75</v>
      </c>
      <c r="H52">
        <f>$G$32</f>
        <v>0.523</v>
      </c>
      <c r="I52">
        <f>F52*G52*H52/1000</f>
        <v>0.7456672500000001</v>
      </c>
      <c r="J52">
        <v>1</v>
      </c>
    </row>
    <row r="53">
      <c r="B53" t="str">
        <v>TJ55-Nẹp vách</v>
      </c>
      <c r="C53" t="str">
        <v>Ngang</v>
      </c>
      <c r="D53" t="str">
        <v>TTS-TJ86</v>
      </c>
      <c r="E53" t="str">
        <v>90-90</v>
      </c>
      <c r="F53">
        <f>$C$10*J53</f>
        <v>2</v>
      </c>
      <c r="G53">
        <f>C5-G13*2</f>
        <v>2138</v>
      </c>
      <c r="H53">
        <f>$G$34</f>
        <v>0.259</v>
      </c>
      <c r="I53">
        <f>F53*G53*H53/1000</f>
        <v>1.107484</v>
      </c>
      <c r="J53">
        <v>2</v>
      </c>
    </row>
    <row r="54">
      <c r="B54" t="str">
        <v>TJ55-Nẹp vách</v>
      </c>
      <c r="C54" t="str">
        <v>Ngang</v>
      </c>
      <c r="D54" t="str">
        <v>TTS-TJ86</v>
      </c>
      <c r="E54" t="str">
        <v>90-90</v>
      </c>
      <c r="F54">
        <f>$C$10*J54</f>
        <v>2</v>
      </c>
      <c r="G54">
        <f>C5-C7-G13-G15/2</f>
        <v>849.75</v>
      </c>
      <c r="H54">
        <f>$G$34</f>
        <v>0.259</v>
      </c>
      <c r="I54">
        <f>F54*G54*H54/1000</f>
        <v>0.4401705</v>
      </c>
      <c r="J54">
        <v>2</v>
      </c>
    </row>
    <row r="55">
      <c r="B55" t="str">
        <v>TJ55-Nẹp vách</v>
      </c>
      <c r="C55" t="str">
        <v>Đứng</v>
      </c>
      <c r="D55" t="str">
        <v>TTS-TJ86</v>
      </c>
      <c r="E55" t="str">
        <v>90-90</v>
      </c>
      <c r="F55">
        <f>$C$10*J55</f>
        <v>2</v>
      </c>
      <c r="G55">
        <f>C6-C8-G13-G15/2-G21*2</f>
        <v>211.75</v>
      </c>
      <c r="H55">
        <f>$G$34</f>
        <v>0.259</v>
      </c>
      <c r="I55">
        <f>F55*G55*H55/1000</f>
        <v>0.1096865</v>
      </c>
      <c r="J55">
        <v>2</v>
      </c>
    </row>
    <row r="56">
      <c r="B56" t="str">
        <v>TJ55-Nẹp vách</v>
      </c>
      <c r="C56" t="str">
        <v>Đứng</v>
      </c>
      <c r="D56" t="str">
        <v>TTS-TJ86</v>
      </c>
      <c r="E56" t="str">
        <v>90-90</v>
      </c>
      <c r="F56">
        <f>$C$10*J56</f>
        <v>2</v>
      </c>
      <c r="G56">
        <f>C8-G13-G15/2-G21*2</f>
        <v>1411.75</v>
      </c>
      <c r="H56">
        <f>$G$34</f>
        <v>0.259</v>
      </c>
      <c r="I56">
        <f>F56*G56*H56/1000</f>
        <v>0.7312865000000001</v>
      </c>
      <c r="J56">
        <v>2</v>
      </c>
    </row>
    <row r="59">
      <c r="B59" t="str">
        <v>KÍCH THƯỚC CẮT KÍNH</v>
      </c>
    </row>
    <row r="60">
      <c r="B60" t="str">
        <v>Tên kính</v>
      </c>
      <c r="C60" t="str">
        <v>Rộng</v>
      </c>
      <c r="D60" t="str">
        <v>Cao</v>
      </c>
      <c r="E60" t="str">
        <v>Số lượng</v>
      </c>
      <c r="F60" t="str">
        <v>Diện tích kính (m2)</v>
      </c>
      <c r="G60" t="str">
        <v>Vị trí</v>
      </c>
    </row>
    <row r="61">
      <c r="B61">
        <f>C9</f>
        <v>6</v>
      </c>
      <c r="C61">
        <f>G50-G20*2-G12</f>
        <v>513.375</v>
      </c>
      <c r="D61">
        <f>G51-G20*2-G12</f>
        <v>1347.75</v>
      </c>
      <c r="E61">
        <f>2*C10</f>
        <v>2</v>
      </c>
      <c r="F61">
        <f>E61*D61*C61/10^6</f>
        <v>1.3838023125</v>
      </c>
      <c r="G61" t="str">
        <v>cánh</v>
      </c>
    </row>
    <row r="62">
      <c r="B62">
        <f>C9</f>
        <v>6</v>
      </c>
      <c r="C62">
        <f>C5-G13*2-G12</f>
        <v>2130</v>
      </c>
      <c r="D62">
        <f>C6-C8-G13-G15/2-G12</f>
        <v>241.75</v>
      </c>
      <c r="E62">
        <f>1*C10</f>
        <v>1</v>
      </c>
      <c r="F62">
        <f>E62*D62*C62/10^6</f>
        <v>0.5149275</v>
      </c>
      <c r="G62" t="str">
        <v>vách</v>
      </c>
    </row>
    <row r="63">
      <c r="B63">
        <f>C9</f>
        <v>6</v>
      </c>
      <c r="C63">
        <f>C5-C7-G13-G15/2-G12</f>
        <v>841.75</v>
      </c>
      <c r="D63">
        <f>C8-G13-G15/2-G12</f>
        <v>1441.75</v>
      </c>
      <c r="E63">
        <f>1*C10</f>
        <v>1</v>
      </c>
      <c r="F63">
        <f>E63*D63*C63/10^6</f>
        <v>1.2135930625</v>
      </c>
      <c r="G63" t="str">
        <v>vách</v>
      </c>
    </row>
    <row r="66">
      <c r="B66" t="str">
        <v>PHỤ KIỆN</v>
      </c>
      <c r="C66" t="str">
        <v>sổ 2 cánh</v>
      </c>
    </row>
    <row r="67">
      <c r="B67" t="str">
        <v>Tên</v>
      </c>
      <c r="C67" t="str">
        <v>Mã</v>
      </c>
      <c r="D67" t="str">
        <v>ĐVT</v>
      </c>
      <c r="E67" t="str">
        <v>Số lượng</v>
      </c>
    </row>
    <row r="68">
      <c r="B68" t="str">
        <v>Bản lề cửa sổ BOSS</v>
      </c>
      <c r="C68" t="str">
        <v>BOSS-SBL</v>
      </c>
      <c r="D68" t="str">
        <v>Chiếc</v>
      </c>
      <c r="E68">
        <f>H68*$H$5</f>
        <v>4</v>
      </c>
      <c r="H68">
        <v>4</v>
      </c>
    </row>
    <row r="69">
      <c r="B69" t="str">
        <v>Tay nắm cửa sổ mở quay BOSS</v>
      </c>
      <c r="C69" t="str">
        <v>BOSS-STN</v>
      </c>
      <c r="D69" t="str">
        <v>Chiếc</v>
      </c>
      <c r="E69">
        <f>H69*$H$5</f>
        <v>1</v>
      </c>
      <c r="H69">
        <v>1</v>
      </c>
    </row>
    <row r="70">
      <c r="B70" t="str">
        <v>Thanh chuyển động BOSS</v>
      </c>
      <c r="C70" t="str">
        <v>BOSS-STCD</v>
      </c>
      <c r="D70" t="str">
        <v>Thanh</v>
      </c>
      <c r="E70">
        <f>H70*$H$5</f>
        <v>1</v>
      </c>
      <c r="H70">
        <v>1</v>
      </c>
    </row>
    <row r="71">
      <c r="B71" t="str">
        <v>Vấu 2 cánh cửa sổ BOSS</v>
      </c>
      <c r="C71" t="str">
        <v>BOSS-SV2C</v>
      </c>
      <c r="D71" t="str">
        <v>Chiếc</v>
      </c>
      <c r="E71">
        <f>H71*$H$5</f>
        <v>2</v>
      </c>
      <c r="H71">
        <v>2</v>
      </c>
    </row>
    <row r="72">
      <c r="B72" t="str">
        <v>Chốt cánh phụ cửa sổ BOSS</v>
      </c>
      <c r="C72" t="str">
        <v>BOSS-SCCP</v>
      </c>
      <c r="D72" t="str">
        <v>Chiếc</v>
      </c>
      <c r="E72">
        <f>H72*$H$5</f>
        <v>2</v>
      </c>
      <c r="H72">
        <v>2</v>
      </c>
    </row>
    <row r="73">
      <c r="B73" t="str">
        <v>Nắp bịt đố động BOSS</v>
      </c>
      <c r="C73" t="str">
        <v>BOSS-BDD</v>
      </c>
      <c r="D73" t="str">
        <v>Cặp</v>
      </c>
      <c r="E73">
        <f>H73*$H$5</f>
        <v>1</v>
      </c>
      <c r="H73">
        <v>1</v>
      </c>
    </row>
    <row r="74">
      <c r="B74" t="str">
        <v>Ke nhảy khung mở quay BOSS</v>
      </c>
      <c r="C74" t="str">
        <v>BOSS-KNK</v>
      </c>
      <c r="D74" t="str">
        <v>Chiếc</v>
      </c>
      <c r="E74">
        <f>H74*$H$5</f>
        <v>4</v>
      </c>
      <c r="H74">
        <v>4</v>
      </c>
    </row>
    <row r="75">
      <c r="B75" t="str">
        <v>Ke nhảy cánh sổ mở quay BOSS</v>
      </c>
      <c r="C75" t="str">
        <v>BOSS-SKNC</v>
      </c>
      <c r="D75" t="str">
        <v>Chiếc</v>
      </c>
      <c r="E75">
        <f>H75*$H$5</f>
        <v>8</v>
      </c>
      <c r="H75">
        <v>8</v>
      </c>
    </row>
    <row r="76">
      <c r="B76" t="str">
        <v>Ke tăng cứng BOSS</v>
      </c>
      <c r="C76" t="str">
        <v>BOSS-KTC</v>
      </c>
      <c r="D76" t="str">
        <v>Chiếc</v>
      </c>
      <c r="E76">
        <f>H76*$H$5</f>
        <v>8</v>
      </c>
      <c r="H76">
        <v>8</v>
      </c>
    </row>
    <row r="79">
      <c r="B79" t="str">
        <v>BẢNG TÍNH GIÁ THÀNH</v>
      </c>
    </row>
    <row r="80">
      <c r="B80" t="str">
        <v>Tên gọi</v>
      </c>
      <c r="C80" t="str">
        <v>Đơn vị tính</v>
      </c>
      <c r="D80" t="str">
        <v>Số lượng</v>
      </c>
      <c r="E80" t="str">
        <v>Đơn giá</v>
      </c>
      <c r="F80" t="str">
        <v>Thành tiền</v>
      </c>
    </row>
    <row r="81">
      <c r="B81" t="str">
        <v>Nhôm (VNĐ)</v>
      </c>
      <c r="C81" t="str">
        <v>Kg</v>
      </c>
      <c r="D81">
        <f>SUM(I46:I56)</f>
        <v>19.96069825</v>
      </c>
      <c r="E81">
        <f>C11</f>
        <v>90000</v>
      </c>
      <c r="F81">
        <f>E81*D81</f>
        <v>1796462.8425</v>
      </c>
    </row>
    <row r="82">
      <c r="B82" t="str">
        <v>Kính (VNĐ)</v>
      </c>
      <c r="C82" t="str">
        <v>m2</v>
      </c>
      <c r="D82">
        <f>SUM(F61:F63)</f>
        <v>3.1123228750000003</v>
      </c>
      <c r="E82">
        <f>C12</f>
        <v>245000</v>
      </c>
      <c r="F82">
        <f>E82*D82</f>
        <v>762519.1043750001</v>
      </c>
    </row>
    <row r="83">
      <c r="B83" t="str">
        <v>Phụ Kiện (tự nhập) (VNĐ)</v>
      </c>
    </row>
    <row r="84">
      <c r="B84" t="str">
        <v>Vật Tư Phụ (tự nhập) (VNĐ)</v>
      </c>
    </row>
    <row r="85">
      <c r="B85" t="str">
        <v>Công Sản Xuất + Lắp Đặt (VNĐ)</v>
      </c>
    </row>
    <row r="86">
      <c r="B86" t="str">
        <v>Tổng (chưa tính hao hụt nhôm)</v>
      </c>
      <c r="F86">
        <f>SUM(F81:F85)</f>
        <v>2558981.9468750004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B59</v>
      </c>
      <c r="D2" t="str">
        <v>B66</v>
      </c>
      <c r="E2" t="str">
        <v>B79</v>
      </c>
    </row>
    <row r="3">
      <c r="A3" t="str">
        <v>C12</v>
      </c>
      <c r="B3" t="str">
        <v>G56</v>
      </c>
      <c r="C3" t="str">
        <v>G63</v>
      </c>
      <c r="D3" t="str">
        <v>E76</v>
      </c>
      <c r="E3" t="str">
        <v>F86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F86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2021-04-09T15:48:43Z</dcterms:modified>
  <cp:lastModifiedBy>ACER</cp:lastModifiedBy>
  <cp:lastPrinted>2014-12-05T03:23:20Z</cp:lastPrinted>
  <dc:creator>Windows User</dc:creator>
</cp:coreProperties>
</file>