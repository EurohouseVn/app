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20" yWindow="-120" windowWidth="20730" windowHeight="11160" tabRatio="490"/>
  </bookViews>
  <sheets>
    <sheet name="PX (2)" sheetId="10" r:id="rId1"/>
  </sheets>
  <externalReferences>
    <externalReference r:id="rId2"/>
    <externalReference r:id="rId3"/>
  </externalReferences>
  <definedNames>
    <definedName name="_xlnm._FilterDatabase" localSheetId="0" hidden="1">'PX (2)'!$A$25:$XDP$248</definedName>
    <definedName name="vnv">'[1]DMNV-2019'!$A$5:$N$66</definedName>
  </definedNames>
  <calcPr calcId="144525"/>
</workbook>
</file>

<file path=xl/calcChain.xml><?xml version="1.0" encoding="utf-8"?>
<calcChain xmlns="http://schemas.openxmlformats.org/spreadsheetml/2006/main">
  <c r="O21" i="10" l="1"/>
  <c r="Q176" i="10" l="1"/>
  <c r="Q139" i="10"/>
  <c r="Q132" i="10"/>
  <c r="Q131" i="10"/>
  <c r="Q128" i="10"/>
  <c r="Q126" i="10"/>
  <c r="Q125" i="10"/>
  <c r="Q81" i="10"/>
  <c r="Q123" i="10" l="1"/>
  <c r="Q104" i="10"/>
  <c r="Q91" i="10"/>
  <c r="Q75" i="10"/>
  <c r="Q69" i="10"/>
  <c r="Q68" i="10"/>
  <c r="Q67" i="10"/>
  <c r="Q66" i="10"/>
  <c r="Q65" i="10"/>
  <c r="Q194" i="10" l="1"/>
  <c r="Q152" i="10"/>
  <c r="Q146" i="10"/>
  <c r="Q144" i="10"/>
  <c r="Q143" i="10"/>
  <c r="Q135" i="10"/>
  <c r="Q133" i="10"/>
  <c r="Q204" i="10" l="1"/>
  <c r="Q198" i="10"/>
  <c r="Q178" i="10"/>
  <c r="Q177" i="10"/>
  <c r="Q175" i="10"/>
  <c r="Q174" i="10"/>
  <c r="Q173" i="10"/>
  <c r="Q172" i="10"/>
  <c r="Q155" i="10"/>
  <c r="Q151" i="10"/>
  <c r="Q149" i="10"/>
  <c r="Q130" i="10"/>
  <c r="Q120" i="10"/>
  <c r="Q103" i="10"/>
  <c r="Q71" i="10"/>
  <c r="Q45" i="10"/>
  <c r="Q40" i="10"/>
  <c r="Q36" i="10"/>
  <c r="Q80" i="10" l="1"/>
  <c r="Q72" i="10"/>
  <c r="Q64" i="10"/>
  <c r="Q63" i="10"/>
  <c r="Q61" i="10"/>
  <c r="Q220" i="10" l="1"/>
  <c r="Q221" i="10"/>
  <c r="Q222" i="10"/>
  <c r="Q223" i="10"/>
  <c r="Q224" i="10"/>
  <c r="Q225" i="10"/>
  <c r="Q226" i="10"/>
  <c r="Q227" i="10"/>
  <c r="Q208" i="10" l="1"/>
  <c r="Q205" i="10"/>
  <c r="Q148" i="10"/>
  <c r="Q51" i="10"/>
  <c r="Q39" i="10"/>
  <c r="Q38" i="10"/>
  <c r="Q35" i="10"/>
  <c r="Q142" i="10"/>
  <c r="Q145" i="10"/>
  <c r="Q147" i="10"/>
  <c r="Q150" i="10"/>
  <c r="Q28" i="10"/>
  <c r="Q29" i="10"/>
  <c r="Q30" i="10"/>
  <c r="Q31" i="10"/>
  <c r="Q32" i="10"/>
  <c r="Q33" i="10"/>
  <c r="Q34" i="10"/>
  <c r="Q37" i="10"/>
  <c r="Q41" i="10"/>
  <c r="Q42" i="10"/>
  <c r="Q43" i="10"/>
  <c r="Q44" i="10"/>
  <c r="Q46" i="10"/>
  <c r="Q47" i="10"/>
  <c r="Q48" i="10"/>
  <c r="Q49" i="10"/>
  <c r="Q50" i="10"/>
  <c r="Q52" i="10"/>
  <c r="Q53" i="10"/>
  <c r="Q54" i="10"/>
  <c r="Q97" i="10" l="1"/>
  <c r="Q141" i="10" l="1"/>
  <c r="Q140" i="10"/>
  <c r="Q70" i="10"/>
  <c r="V140" i="10" l="1"/>
  <c r="U140" i="10"/>
  <c r="T140" i="10"/>
  <c r="S140" i="10"/>
  <c r="R140" i="10"/>
  <c r="A140" i="10"/>
  <c r="G248" i="10" l="1"/>
  <c r="H248" i="10"/>
  <c r="I248" i="10"/>
  <c r="J248" i="10"/>
  <c r="K248" i="10"/>
  <c r="L248" i="10"/>
  <c r="M248" i="10"/>
  <c r="N248" i="10"/>
  <c r="O248" i="10"/>
  <c r="P248" i="10"/>
  <c r="Q240" i="10" l="1"/>
  <c r="Q195" i="10"/>
  <c r="Q153" i="10"/>
  <c r="Q106" i="10"/>
  <c r="Q99" i="10"/>
  <c r="Q62" i="10"/>
  <c r="O10" i="10"/>
  <c r="R208" i="10" l="1"/>
  <c r="R205" i="10"/>
  <c r="R153" i="10"/>
  <c r="R147" i="10"/>
  <c r="R143" i="10"/>
  <c r="R139" i="10"/>
  <c r="R106" i="10"/>
  <c r="R62" i="10"/>
  <c r="D20" i="10"/>
  <c r="Q241" i="10" l="1"/>
  <c r="R241" i="10" s="1"/>
  <c r="R240" i="10"/>
  <c r="R195" i="10"/>
  <c r="R194" i="10"/>
  <c r="R177" i="10"/>
  <c r="R148" i="10"/>
  <c r="R144" i="10"/>
  <c r="R135" i="10"/>
  <c r="R131" i="10"/>
  <c r="R128" i="10"/>
  <c r="R125" i="10"/>
  <c r="R123" i="10"/>
  <c r="R103" i="10"/>
  <c r="R99" i="10"/>
  <c r="R97" i="10"/>
  <c r="R91" i="10"/>
  <c r="R65" i="10"/>
  <c r="R51" i="10"/>
  <c r="R36" i="10"/>
  <c r="R34" i="10"/>
  <c r="R33" i="10"/>
  <c r="R32" i="10"/>
  <c r="R31" i="10"/>
  <c r="R30" i="10"/>
  <c r="R29" i="10"/>
  <c r="Q107" i="10" l="1"/>
  <c r="Q95" i="10"/>
  <c r="D19" i="10" l="1"/>
  <c r="D18" i="10"/>
  <c r="R146" i="10" l="1"/>
  <c r="W153" i="10" l="1"/>
  <c r="U153" i="10"/>
  <c r="T153" i="10"/>
  <c r="S153" i="10"/>
  <c r="W146" i="10"/>
  <c r="V146" i="10"/>
  <c r="U146" i="10"/>
  <c r="T146" i="10"/>
  <c r="S146" i="10"/>
  <c r="W144" i="10"/>
  <c r="V144" i="10"/>
  <c r="U144" i="10"/>
  <c r="T144" i="10"/>
  <c r="S144" i="10"/>
  <c r="W142" i="10"/>
  <c r="V142" i="10"/>
  <c r="U142" i="10"/>
  <c r="T142" i="10"/>
  <c r="S142" i="10"/>
  <c r="W141" i="10"/>
  <c r="V141" i="10"/>
  <c r="U141" i="10"/>
  <c r="T141" i="10"/>
  <c r="S141" i="10"/>
  <c r="W133" i="10"/>
  <c r="V133" i="10"/>
  <c r="T133" i="10"/>
  <c r="S133" i="10"/>
  <c r="W130" i="10"/>
  <c r="V130" i="10"/>
  <c r="U130" i="10"/>
  <c r="T130" i="10"/>
  <c r="S130" i="10"/>
  <c r="W123" i="10"/>
  <c r="V123" i="10"/>
  <c r="U123" i="10"/>
  <c r="T123" i="10"/>
  <c r="S123" i="10"/>
  <c r="W104" i="10"/>
  <c r="V104" i="10"/>
  <c r="U104" i="10"/>
  <c r="T104" i="10"/>
  <c r="S104" i="10"/>
  <c r="W103" i="10"/>
  <c r="V103" i="10"/>
  <c r="U103" i="10"/>
  <c r="T103" i="10"/>
  <c r="S103" i="10"/>
  <c r="W51" i="10"/>
  <c r="V51" i="10"/>
  <c r="U51" i="10"/>
  <c r="T51" i="10"/>
  <c r="S51" i="10"/>
  <c r="W36" i="10"/>
  <c r="V36" i="10"/>
  <c r="U36" i="10"/>
  <c r="T36" i="10"/>
  <c r="S36" i="10"/>
  <c r="W34" i="10"/>
  <c r="V34" i="10"/>
  <c r="U34" i="10"/>
  <c r="T34" i="10"/>
  <c r="S34" i="10"/>
  <c r="W32" i="10"/>
  <c r="V32" i="10"/>
  <c r="U32" i="10"/>
  <c r="T32" i="10"/>
  <c r="S32" i="10"/>
  <c r="W31" i="10"/>
  <c r="V31" i="10"/>
  <c r="U31" i="10"/>
  <c r="T31" i="10"/>
  <c r="S31" i="10"/>
  <c r="W30" i="10"/>
  <c r="V30" i="10"/>
  <c r="U30" i="10"/>
  <c r="T30" i="10"/>
  <c r="S30" i="10"/>
  <c r="W29" i="10"/>
  <c r="V29" i="10"/>
  <c r="U29" i="10"/>
  <c r="T29" i="10"/>
  <c r="S29" i="10"/>
  <c r="W26" i="10"/>
  <c r="V26" i="10"/>
  <c r="U26" i="10"/>
  <c r="T26" i="10"/>
  <c r="S26" i="10"/>
  <c r="Q127" i="10" l="1"/>
  <c r="Q27" i="10" l="1"/>
  <c r="Q55" i="10"/>
  <c r="Q56" i="10"/>
  <c r="Q57" i="10"/>
  <c r="Q58" i="10"/>
  <c r="Q59" i="10"/>
  <c r="Q60" i="10"/>
  <c r="R61" i="10"/>
  <c r="Q73" i="10"/>
  <c r="Q74" i="10"/>
  <c r="Q76" i="10"/>
  <c r="Q77" i="10"/>
  <c r="Q78" i="10"/>
  <c r="Q79" i="10"/>
  <c r="Q82" i="10"/>
  <c r="Q83" i="10"/>
  <c r="Q84" i="10"/>
  <c r="Q85" i="10"/>
  <c r="Q86" i="10"/>
  <c r="Q87" i="10"/>
  <c r="Q88" i="10"/>
  <c r="Q89" i="10"/>
  <c r="Q90" i="10"/>
  <c r="Q92" i="10"/>
  <c r="Q93" i="10"/>
  <c r="Q94" i="10"/>
  <c r="Q96" i="10"/>
  <c r="Q98" i="10"/>
  <c r="Q100" i="10"/>
  <c r="Q101" i="10"/>
  <c r="Q102" i="10"/>
  <c r="Q105" i="10"/>
  <c r="Q108" i="10"/>
  <c r="Q109" i="10"/>
  <c r="Q110" i="10"/>
  <c r="Q111" i="10"/>
  <c r="Q112" i="10"/>
  <c r="Q113" i="10"/>
  <c r="Q114" i="10"/>
  <c r="Q115" i="10"/>
  <c r="Q116" i="10"/>
  <c r="Q117" i="10"/>
  <c r="Q118" i="10"/>
  <c r="Q119" i="10"/>
  <c r="Q121" i="10"/>
  <c r="Q122" i="10"/>
  <c r="Q124" i="10"/>
  <c r="Q129" i="10"/>
  <c r="Q134" i="10"/>
  <c r="Q136" i="10"/>
  <c r="Q137" i="10"/>
  <c r="Q138" i="10"/>
  <c r="Q154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8" i="10"/>
  <c r="Q169" i="10"/>
  <c r="Q170" i="10"/>
  <c r="Q171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6" i="10"/>
  <c r="Q197" i="10"/>
  <c r="Q199" i="10"/>
  <c r="Q200" i="10"/>
  <c r="Q201" i="10"/>
  <c r="Q202" i="10"/>
  <c r="Q203" i="10"/>
  <c r="Q206" i="10"/>
  <c r="Q207" i="10"/>
  <c r="Q209" i="10"/>
  <c r="Q210" i="10"/>
  <c r="Q211" i="10"/>
  <c r="Q212" i="10"/>
  <c r="Q213" i="10"/>
  <c r="Q214" i="10"/>
  <c r="Q215" i="10"/>
  <c r="Q216" i="10"/>
  <c r="Q217" i="10"/>
  <c r="Q218" i="10"/>
  <c r="Q219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2" i="10"/>
  <c r="Q243" i="10"/>
  <c r="Q26" i="10" l="1"/>
  <c r="D17" i="10" l="1"/>
  <c r="T40" i="10" l="1"/>
  <c r="T39" i="10"/>
  <c r="T38" i="10"/>
  <c r="T35" i="10" l="1"/>
  <c r="S35" i="10" l="1"/>
  <c r="C14" i="10" l="1"/>
  <c r="R126" i="10" l="1"/>
  <c r="R55" i="10"/>
  <c r="R54" i="10"/>
  <c r="U248" i="10"/>
  <c r="T248" i="10"/>
  <c r="F248" i="10"/>
  <c r="S248" i="10" s="1"/>
  <c r="Q247" i="10"/>
  <c r="R247" i="10" s="1"/>
  <c r="A247" i="10"/>
  <c r="Q246" i="10"/>
  <c r="R246" i="10" s="1"/>
  <c r="A246" i="10"/>
  <c r="Q245" i="10"/>
  <c r="R245" i="10" s="1"/>
  <c r="A245" i="10"/>
  <c r="Q244" i="10"/>
  <c r="A244" i="10"/>
  <c r="R243" i="10"/>
  <c r="A243" i="10"/>
  <c r="R242" i="10"/>
  <c r="A242" i="10"/>
  <c r="A241" i="10"/>
  <c r="A240" i="10"/>
  <c r="R239" i="10"/>
  <c r="A239" i="10"/>
  <c r="R238" i="10"/>
  <c r="A238" i="10"/>
  <c r="R237" i="10"/>
  <c r="A237" i="10"/>
  <c r="R236" i="10"/>
  <c r="A236" i="10"/>
  <c r="R235" i="10"/>
  <c r="A235" i="10"/>
  <c r="R234" i="10"/>
  <c r="A234" i="10"/>
  <c r="R233" i="10"/>
  <c r="A233" i="10"/>
  <c r="R232" i="10"/>
  <c r="A232" i="10"/>
  <c r="R231" i="10"/>
  <c r="A231" i="10"/>
  <c r="R230" i="10"/>
  <c r="A230" i="10"/>
  <c r="R229" i="10"/>
  <c r="A229" i="10"/>
  <c r="R228" i="10"/>
  <c r="A228" i="10"/>
  <c r="R227" i="10"/>
  <c r="A227" i="10"/>
  <c r="R226" i="10"/>
  <c r="A226" i="10"/>
  <c r="R225" i="10"/>
  <c r="A225" i="10"/>
  <c r="R224" i="10"/>
  <c r="A224" i="10"/>
  <c r="R223" i="10"/>
  <c r="A223" i="10"/>
  <c r="R222" i="10"/>
  <c r="A222" i="10"/>
  <c r="R221" i="10"/>
  <c r="A221" i="10"/>
  <c r="R220" i="10"/>
  <c r="A220" i="10"/>
  <c r="R219" i="10"/>
  <c r="A219" i="10"/>
  <c r="R218" i="10"/>
  <c r="A218" i="10"/>
  <c r="R217" i="10"/>
  <c r="A217" i="10"/>
  <c r="R216" i="10"/>
  <c r="A216" i="10"/>
  <c r="R215" i="10"/>
  <c r="A215" i="10"/>
  <c r="R214" i="10"/>
  <c r="A214" i="10"/>
  <c r="R213" i="10"/>
  <c r="A213" i="10"/>
  <c r="R212" i="10"/>
  <c r="A212" i="10"/>
  <c r="R211" i="10"/>
  <c r="A211" i="10"/>
  <c r="R210" i="10"/>
  <c r="A210" i="10"/>
  <c r="R209" i="10"/>
  <c r="A209" i="10"/>
  <c r="A208" i="10"/>
  <c r="R207" i="10"/>
  <c r="A207" i="10"/>
  <c r="R206" i="10"/>
  <c r="A206" i="10"/>
  <c r="A205" i="10"/>
  <c r="R204" i="10"/>
  <c r="A204" i="10"/>
  <c r="R203" i="10"/>
  <c r="A203" i="10"/>
  <c r="R202" i="10"/>
  <c r="A202" i="10"/>
  <c r="R201" i="10"/>
  <c r="A201" i="10"/>
  <c r="R200" i="10"/>
  <c r="A200" i="10"/>
  <c r="R199" i="10"/>
  <c r="A199" i="10"/>
  <c r="R198" i="10"/>
  <c r="A198" i="10"/>
  <c r="R197" i="10"/>
  <c r="A197" i="10"/>
  <c r="R196" i="10"/>
  <c r="A196" i="10"/>
  <c r="A195" i="10"/>
  <c r="A194" i="10"/>
  <c r="D193" i="10"/>
  <c r="A193" i="10"/>
  <c r="R192" i="10"/>
  <c r="A192" i="10"/>
  <c r="R191" i="10"/>
  <c r="A191" i="10"/>
  <c r="R190" i="10"/>
  <c r="A190" i="10"/>
  <c r="R189" i="10"/>
  <c r="A189" i="10"/>
  <c r="R188" i="10"/>
  <c r="A188" i="10"/>
  <c r="R187" i="10"/>
  <c r="A187" i="10"/>
  <c r="R186" i="10"/>
  <c r="A186" i="10"/>
  <c r="R185" i="10"/>
  <c r="A185" i="10"/>
  <c r="R184" i="10"/>
  <c r="A184" i="10"/>
  <c r="R183" i="10"/>
  <c r="A183" i="10"/>
  <c r="R182" i="10"/>
  <c r="A182" i="10"/>
  <c r="R181" i="10"/>
  <c r="A181" i="10"/>
  <c r="R180" i="10"/>
  <c r="A180" i="10"/>
  <c r="R179" i="10"/>
  <c r="A179" i="10"/>
  <c r="R178" i="10"/>
  <c r="A178" i="10"/>
  <c r="A177" i="10"/>
  <c r="R176" i="10"/>
  <c r="A176" i="10"/>
  <c r="R175" i="10"/>
  <c r="A175" i="10"/>
  <c r="R174" i="10"/>
  <c r="A174" i="10"/>
  <c r="R173" i="10"/>
  <c r="A173" i="10"/>
  <c r="R172" i="10"/>
  <c r="A172" i="10"/>
  <c r="R171" i="10"/>
  <c r="A171" i="10"/>
  <c r="R170" i="10"/>
  <c r="A170" i="10"/>
  <c r="R169" i="10"/>
  <c r="A169" i="10"/>
  <c r="R168" i="10"/>
  <c r="A168" i="10"/>
  <c r="R167" i="10"/>
  <c r="A167" i="10"/>
  <c r="R166" i="10"/>
  <c r="A166" i="10"/>
  <c r="R165" i="10"/>
  <c r="A165" i="10"/>
  <c r="R164" i="10"/>
  <c r="A164" i="10"/>
  <c r="R163" i="10"/>
  <c r="A163" i="10"/>
  <c r="R162" i="10"/>
  <c r="A162" i="10"/>
  <c r="R161" i="10"/>
  <c r="A161" i="10"/>
  <c r="R160" i="10"/>
  <c r="A160" i="10"/>
  <c r="R159" i="10"/>
  <c r="A159" i="10"/>
  <c r="R158" i="10"/>
  <c r="A158" i="10"/>
  <c r="R157" i="10"/>
  <c r="A157" i="10"/>
  <c r="R156" i="10"/>
  <c r="A156" i="10"/>
  <c r="R155" i="10"/>
  <c r="A155" i="10"/>
  <c r="R154" i="10"/>
  <c r="A154" i="10"/>
  <c r="V153" i="10"/>
  <c r="A153" i="10"/>
  <c r="R152" i="10"/>
  <c r="A152" i="10"/>
  <c r="R151" i="10"/>
  <c r="A151" i="10"/>
  <c r="R150" i="10"/>
  <c r="A150" i="10"/>
  <c r="R149" i="10"/>
  <c r="A149" i="10"/>
  <c r="A148" i="10"/>
  <c r="A147" i="10"/>
  <c r="A146" i="10"/>
  <c r="R145" i="10"/>
  <c r="A145" i="10"/>
  <c r="A144" i="10"/>
  <c r="A143" i="10"/>
  <c r="R142" i="10"/>
  <c r="A142" i="10"/>
  <c r="R141" i="10"/>
  <c r="A141" i="10"/>
  <c r="A139" i="10"/>
  <c r="A138" i="10"/>
  <c r="R137" i="10"/>
  <c r="A137" i="10"/>
  <c r="R136" i="10"/>
  <c r="A136" i="10"/>
  <c r="A135" i="10"/>
  <c r="R134" i="10"/>
  <c r="A134" i="10"/>
  <c r="R133" i="10"/>
  <c r="U133" i="10" s="1"/>
  <c r="A133" i="10"/>
  <c r="R132" i="10"/>
  <c r="A132" i="10"/>
  <c r="A131" i="10"/>
  <c r="R130" i="10"/>
  <c r="A130" i="10"/>
  <c r="R129" i="10"/>
  <c r="A129" i="10"/>
  <c r="A128" i="10"/>
  <c r="R127" i="10"/>
  <c r="A127" i="10"/>
  <c r="A126" i="10"/>
  <c r="A125" i="10"/>
  <c r="R124" i="10"/>
  <c r="A124" i="10"/>
  <c r="A123" i="10"/>
  <c r="R122" i="10"/>
  <c r="A122" i="10"/>
  <c r="R121" i="10"/>
  <c r="A121" i="10"/>
  <c r="R120" i="10"/>
  <c r="A120" i="10"/>
  <c r="R119" i="10"/>
  <c r="XDP119" i="10" s="1"/>
  <c r="XDP120" i="10" s="1"/>
  <c r="A119" i="10"/>
  <c r="R118" i="10"/>
  <c r="XDP118" i="10" s="1"/>
  <c r="A118" i="10"/>
  <c r="R117" i="10"/>
  <c r="XDP117" i="10" s="1"/>
  <c r="A117" i="10"/>
  <c r="R116" i="10"/>
  <c r="A116" i="10"/>
  <c r="R115" i="10"/>
  <c r="XDP115" i="10" s="1"/>
  <c r="A115" i="10"/>
  <c r="R114" i="10"/>
  <c r="XDP114" i="10" s="1"/>
  <c r="A114" i="10"/>
  <c r="R113" i="10"/>
  <c r="A113" i="10"/>
  <c r="R112" i="10"/>
  <c r="A112" i="10"/>
  <c r="R111" i="10"/>
  <c r="A111" i="10"/>
  <c r="R110" i="10"/>
  <c r="A110" i="10"/>
  <c r="R109" i="10"/>
  <c r="A109" i="10"/>
  <c r="R108" i="10"/>
  <c r="A108" i="10"/>
  <c r="R107" i="10"/>
  <c r="A107" i="10"/>
  <c r="A106" i="10"/>
  <c r="R105" i="10"/>
  <c r="A105" i="10"/>
  <c r="R104" i="10"/>
  <c r="A104" i="10"/>
  <c r="A103" i="10"/>
  <c r="R102" i="10"/>
  <c r="A102" i="10"/>
  <c r="R101" i="10"/>
  <c r="A101" i="10"/>
  <c r="R100" i="10"/>
  <c r="A100" i="10"/>
  <c r="A99" i="10"/>
  <c r="R98" i="10"/>
  <c r="A98" i="10"/>
  <c r="A97" i="10"/>
  <c r="R96" i="10"/>
  <c r="A96" i="10"/>
  <c r="R95" i="10"/>
  <c r="A95" i="10"/>
  <c r="R94" i="10"/>
  <c r="A94" i="10"/>
  <c r="R93" i="10"/>
  <c r="A93" i="10"/>
  <c r="R92" i="10"/>
  <c r="A92" i="10"/>
  <c r="A91" i="10"/>
  <c r="R90" i="10"/>
  <c r="A90" i="10"/>
  <c r="R89" i="10"/>
  <c r="A89" i="10"/>
  <c r="R88" i="10"/>
  <c r="A88" i="10"/>
  <c r="R87" i="10"/>
  <c r="A87" i="10"/>
  <c r="R86" i="10"/>
  <c r="A86" i="10"/>
  <c r="R85" i="10"/>
  <c r="A85" i="10"/>
  <c r="R84" i="10"/>
  <c r="A84" i="10"/>
  <c r="R83" i="10"/>
  <c r="A83" i="10"/>
  <c r="R82" i="10"/>
  <c r="A82" i="10"/>
  <c r="R81" i="10"/>
  <c r="A81" i="10"/>
  <c r="R80" i="10"/>
  <c r="A80" i="10"/>
  <c r="R79" i="10"/>
  <c r="A79" i="10"/>
  <c r="R78" i="10"/>
  <c r="A78" i="10"/>
  <c r="R77" i="10"/>
  <c r="A77" i="10"/>
  <c r="R76" i="10"/>
  <c r="A76" i="10"/>
  <c r="R75" i="10"/>
  <c r="A75" i="10"/>
  <c r="R74" i="10"/>
  <c r="A74" i="10"/>
  <c r="R73" i="10"/>
  <c r="A73" i="10"/>
  <c r="R72" i="10"/>
  <c r="A72" i="10"/>
  <c r="R71" i="10"/>
  <c r="A71" i="10"/>
  <c r="R70" i="10"/>
  <c r="A70" i="10"/>
  <c r="R69" i="10"/>
  <c r="A69" i="10"/>
  <c r="R68" i="10"/>
  <c r="A68" i="10"/>
  <c r="R67" i="10"/>
  <c r="A67" i="10"/>
  <c r="R66" i="10"/>
  <c r="A66" i="10"/>
  <c r="A65" i="10"/>
  <c r="R64" i="10"/>
  <c r="A64" i="10"/>
  <c r="R63" i="10"/>
  <c r="A63" i="10"/>
  <c r="A62" i="10"/>
  <c r="A61" i="10"/>
  <c r="R60" i="10"/>
  <c r="A60" i="10"/>
  <c r="R59" i="10"/>
  <c r="A59" i="10"/>
  <c r="V58" i="10"/>
  <c r="U58" i="10"/>
  <c r="T58" i="10"/>
  <c r="S58" i="10"/>
  <c r="R58" i="10"/>
  <c r="A58" i="10"/>
  <c r="R57" i="10"/>
  <c r="A57" i="10"/>
  <c r="R56" i="10"/>
  <c r="A56" i="10"/>
  <c r="V55" i="10"/>
  <c r="U55" i="10"/>
  <c r="T55" i="10"/>
  <c r="S55" i="10"/>
  <c r="A55" i="10"/>
  <c r="V54" i="10"/>
  <c r="U54" i="10"/>
  <c r="T54" i="10"/>
  <c r="S54" i="10"/>
  <c r="A54" i="10"/>
  <c r="R53" i="10"/>
  <c r="A53" i="10"/>
  <c r="V52" i="10"/>
  <c r="U52" i="10"/>
  <c r="T52" i="10"/>
  <c r="S52" i="10"/>
  <c r="R52" i="10"/>
  <c r="A52" i="10"/>
  <c r="A51" i="10"/>
  <c r="R50" i="10"/>
  <c r="A50" i="10"/>
  <c r="R49" i="10"/>
  <c r="A49" i="10"/>
  <c r="R48" i="10"/>
  <c r="A48" i="10"/>
  <c r="R47" i="10"/>
  <c r="A47" i="10"/>
  <c r="R46" i="10"/>
  <c r="A46" i="10"/>
  <c r="R45" i="10"/>
  <c r="A45" i="10"/>
  <c r="R44" i="10"/>
  <c r="A44" i="10"/>
  <c r="R43" i="10"/>
  <c r="A43" i="10"/>
  <c r="R42" i="10"/>
  <c r="A42" i="10"/>
  <c r="R41" i="10"/>
  <c r="A41" i="10"/>
  <c r="R40" i="10"/>
  <c r="A40" i="10"/>
  <c r="R39" i="10"/>
  <c r="A39" i="10"/>
  <c r="R38" i="10"/>
  <c r="A38" i="10"/>
  <c r="V37" i="10"/>
  <c r="U37" i="10"/>
  <c r="T37" i="10"/>
  <c r="S37" i="10"/>
  <c r="R37" i="10"/>
  <c r="A37" i="10"/>
  <c r="A36" i="10"/>
  <c r="R35" i="10"/>
  <c r="A35" i="10"/>
  <c r="A34" i="10"/>
  <c r="V33" i="10"/>
  <c r="U33" i="10"/>
  <c r="T33" i="10"/>
  <c r="S33" i="10"/>
  <c r="A33" i="10"/>
  <c r="A32" i="10"/>
  <c r="A31" i="10"/>
  <c r="A30" i="10"/>
  <c r="A29" i="10"/>
  <c r="R28" i="10"/>
  <c r="A28" i="10"/>
  <c r="V27" i="10"/>
  <c r="U27" i="10"/>
  <c r="T27" i="10"/>
  <c r="S27" i="10"/>
  <c r="R27" i="10"/>
  <c r="A27" i="10"/>
  <c r="A26" i="10"/>
  <c r="O11" i="10"/>
  <c r="R244" i="10" l="1"/>
  <c r="Q248" i="10"/>
  <c r="R193" i="10"/>
  <c r="R138" i="10"/>
  <c r="XDP138" i="10" s="1"/>
  <c r="XDP116" i="10"/>
  <c r="R26" i="10"/>
  <c r="R25" i="10" l="1"/>
</calcChain>
</file>

<file path=xl/sharedStrings.xml><?xml version="1.0" encoding="utf-8"?>
<sst xmlns="http://schemas.openxmlformats.org/spreadsheetml/2006/main" count="493" uniqueCount="416">
  <si>
    <t>CÔNG TY CỔ PHẦN EUROHOUSE VIỆT NAM</t>
  </si>
  <si>
    <t>ĐT:  0221 3900 899</t>
  </si>
  <si>
    <t>Email: vneurohouse@gmail.com</t>
  </si>
  <si>
    <t>Tên khách hàng:</t>
  </si>
  <si>
    <t>Địa chỉ:</t>
  </si>
  <si>
    <t>Điện thoại:</t>
  </si>
  <si>
    <t>STT</t>
  </si>
  <si>
    <t>Mã VT</t>
  </si>
  <si>
    <t>Người lập phiếu</t>
  </si>
  <si>
    <t>(Ký, họ tên)</t>
  </si>
  <si>
    <t>DAD91</t>
  </si>
  <si>
    <t>Cánh cửa đi</t>
  </si>
  <si>
    <t>DA3002</t>
  </si>
  <si>
    <t>Pano</t>
  </si>
  <si>
    <t>DATD76</t>
  </si>
  <si>
    <t>Đố cánh</t>
  </si>
  <si>
    <t>DD55</t>
  </si>
  <si>
    <t>Tỷ trọng</t>
  </si>
  <si>
    <t>Thực tế</t>
  </si>
  <si>
    <t>Tên mô tả</t>
  </si>
  <si>
    <t>Tỷ trọng kg/m</t>
  </si>
  <si>
    <t>Quy cách cây/bó</t>
  </si>
  <si>
    <t>Tổng (thanh)</t>
  </si>
  <si>
    <t>LH5110</t>
  </si>
  <si>
    <t>Khung cửa đi và cửa sổ hệ 55 VIP</t>
  </si>
  <si>
    <t>LH11801</t>
  </si>
  <si>
    <t>Cánh cửa đi bản rộng</t>
  </si>
  <si>
    <t>DATD91</t>
  </si>
  <si>
    <t>Đố cánh cửa bản rộng</t>
  </si>
  <si>
    <t>DAK55</t>
  </si>
  <si>
    <t>Khung cửa đi và cửa sổ</t>
  </si>
  <si>
    <t>DAS76</t>
  </si>
  <si>
    <t>Cánh cửa sổ</t>
  </si>
  <si>
    <t>DAT55</t>
  </si>
  <si>
    <t>Đố khung</t>
  </si>
  <si>
    <t xml:space="preserve">Đố động </t>
  </si>
  <si>
    <t>DAS14</t>
  </si>
  <si>
    <t>Nep vách</t>
  </si>
  <si>
    <t>CN 55</t>
  </si>
  <si>
    <t>Sập chân cánh</t>
  </si>
  <si>
    <t>PR5542</t>
  </si>
  <si>
    <t>Khung cửa trượt</t>
  </si>
  <si>
    <t>PR2966</t>
  </si>
  <si>
    <t>Cánh cửa trượt</t>
  </si>
  <si>
    <t>PR55M</t>
  </si>
  <si>
    <t>Nẹp móc cửa trượt</t>
  </si>
  <si>
    <t>PR55N</t>
  </si>
  <si>
    <t>Nẹp sập cửa bốn cánh</t>
  </si>
  <si>
    <t>C3300</t>
  </si>
  <si>
    <t>Xập ghép khung</t>
  </si>
  <si>
    <t>C3326</t>
  </si>
  <si>
    <t>Chuyển góc 90 độ</t>
  </si>
  <si>
    <t>C459</t>
  </si>
  <si>
    <t>Thanh trượt đa điểm</t>
  </si>
  <si>
    <t>CN55</t>
  </si>
  <si>
    <t>Khung chớp</t>
  </si>
  <si>
    <t>Lá chớp</t>
  </si>
  <si>
    <t>KHK65</t>
  </si>
  <si>
    <t>Khung phào mở quay ngoài</t>
  </si>
  <si>
    <t>PRK50</t>
  </si>
  <si>
    <t xml:space="preserve">Khung cửa đi và cửa sổ </t>
  </si>
  <si>
    <t>PRD91</t>
  </si>
  <si>
    <t>PRS76</t>
  </si>
  <si>
    <t>Cánh của sổ</t>
  </si>
  <si>
    <t>PRD86</t>
  </si>
  <si>
    <t>PRS68</t>
  </si>
  <si>
    <t>KTL 01</t>
  </si>
  <si>
    <t>KTL 03</t>
  </si>
  <si>
    <t>NẸP KÍNH HỘP</t>
  </si>
  <si>
    <t>KTL 07</t>
  </si>
  <si>
    <t>KTL 04</t>
  </si>
  <si>
    <t>KTL 05</t>
  </si>
  <si>
    <t>KHUNG 200</t>
  </si>
  <si>
    <t>KTL 06</t>
  </si>
  <si>
    <t>ĐẾ SẬP</t>
  </si>
  <si>
    <t>TL03</t>
  </si>
  <si>
    <t>Khung thủy lực nhỏ</t>
  </si>
  <si>
    <t>KH01</t>
  </si>
  <si>
    <t>Phào nóc</t>
  </si>
  <si>
    <t>KH02</t>
  </si>
  <si>
    <t>Cánh</t>
  </si>
  <si>
    <t>KH03</t>
  </si>
  <si>
    <t>KH04</t>
  </si>
  <si>
    <t>Cột sau</t>
  </si>
  <si>
    <t>KH05</t>
  </si>
  <si>
    <t>khung vách</t>
  </si>
  <si>
    <t>KH06</t>
  </si>
  <si>
    <t>Cột trước</t>
  </si>
  <si>
    <t>KH07</t>
  </si>
  <si>
    <t>đố chia vách</t>
  </si>
  <si>
    <t>KH08</t>
  </si>
  <si>
    <t xml:space="preserve">lá chớp </t>
  </si>
  <si>
    <t>KH09</t>
  </si>
  <si>
    <t>u16</t>
  </si>
  <si>
    <t>KH10</t>
  </si>
  <si>
    <t>thanh ngang</t>
  </si>
  <si>
    <t>KH11</t>
  </si>
  <si>
    <t>cây ngăn kéo</t>
  </si>
  <si>
    <t>KH12</t>
  </si>
  <si>
    <t>phào nhỏ</t>
  </si>
  <si>
    <t>KH13</t>
  </si>
  <si>
    <t>cột trước nhỏ</t>
  </si>
  <si>
    <t>U8</t>
  </si>
  <si>
    <t>KH16</t>
  </si>
  <si>
    <t>Nan trang trí</t>
  </si>
  <si>
    <t>KH17</t>
  </si>
  <si>
    <t>Cánh nhỏ</t>
  </si>
  <si>
    <t>Người nhận hàng</t>
  </si>
  <si>
    <t>Thủ kho</t>
  </si>
  <si>
    <t>NẸP KÍNH VUÔNG</t>
  </si>
  <si>
    <t>NẸP KÍNH TRÒN</t>
  </si>
  <si>
    <t>T9811</t>
  </si>
  <si>
    <t>Chuyển góc bản 110</t>
  </si>
  <si>
    <t>T9813</t>
  </si>
  <si>
    <t>Neẹp móc</t>
  </si>
  <si>
    <t>KHUNG</t>
  </si>
  <si>
    <t>E702</t>
  </si>
  <si>
    <t>NẸP PHẲNG</t>
  </si>
  <si>
    <t>E703</t>
  </si>
  <si>
    <t>CÁNH CỬA ĐI</t>
  </si>
  <si>
    <t>ĐỐ KHUNG</t>
  </si>
  <si>
    <t>E705</t>
  </si>
  <si>
    <t>ĐỐ ĐỘNG</t>
  </si>
  <si>
    <t>E706</t>
  </si>
  <si>
    <t>E707</t>
  </si>
  <si>
    <t>CÁNH CỬA SỔ</t>
  </si>
  <si>
    <t>ECS01</t>
  </si>
  <si>
    <t>KHUNG CS HỆ 55</t>
  </si>
  <si>
    <t>ECS02</t>
  </si>
  <si>
    <t>ECS03</t>
  </si>
  <si>
    <t>NỐI KHUNG CS</t>
  </si>
  <si>
    <t>ECS04</t>
  </si>
  <si>
    <t>PHÀO RỜI CS</t>
  </si>
  <si>
    <t>ECS09</t>
  </si>
  <si>
    <t>NỐI PHÀO</t>
  </si>
  <si>
    <t>ECS07</t>
  </si>
  <si>
    <t>Thanh ngang xong</t>
  </si>
  <si>
    <t>ECS06</t>
  </si>
  <si>
    <t>Thanh liên kết</t>
  </si>
  <si>
    <t>ECS05</t>
  </si>
  <si>
    <t>Chấn song D28</t>
  </si>
  <si>
    <t>ECS08</t>
  </si>
  <si>
    <t>Nắp bịt khung</t>
  </si>
  <si>
    <t>ECS10</t>
  </si>
  <si>
    <t>Phào Dài</t>
  </si>
  <si>
    <t xml:space="preserve">NẸP CHÂN CÁNH </t>
  </si>
  <si>
    <t>T9801</t>
  </si>
  <si>
    <t>Cánh trượt</t>
  </si>
  <si>
    <t>T9802</t>
  </si>
  <si>
    <t>Khung trượt</t>
  </si>
  <si>
    <t>T9803</t>
  </si>
  <si>
    <t>Ray dưới</t>
  </si>
  <si>
    <t>T9804</t>
  </si>
  <si>
    <t>Khung đơn</t>
  </si>
  <si>
    <t>T9805</t>
  </si>
  <si>
    <t>Ray đơn</t>
  </si>
  <si>
    <t>T9806</t>
  </si>
  <si>
    <t>Sập đối đầu</t>
  </si>
  <si>
    <t>T9807</t>
  </si>
  <si>
    <t>Sập U</t>
  </si>
  <si>
    <t>T9808</t>
  </si>
  <si>
    <t>Nẹp móc liền tay nắm</t>
  </si>
  <si>
    <t>T9809</t>
  </si>
  <si>
    <t>T9810</t>
  </si>
  <si>
    <t>Nẹp kính hộp</t>
  </si>
  <si>
    <t>T9812</t>
  </si>
  <si>
    <t>Nẹp đối đầu 90 độ cửa trượt</t>
  </si>
  <si>
    <t>TỔNG</t>
  </si>
  <si>
    <t>KH-TQ01</t>
  </si>
  <si>
    <t>RAY KHUNG</t>
  </si>
  <si>
    <t>KH-TQ02</t>
  </si>
  <si>
    <t>RAY CÁNH</t>
  </si>
  <si>
    <t>KH-TQ03</t>
  </si>
  <si>
    <t>KH-TQ04</t>
  </si>
  <si>
    <t>CÁNH TRÊN</t>
  </si>
  <si>
    <t>KH-TQ05</t>
  </si>
  <si>
    <t>KH-TQ06</t>
  </si>
  <si>
    <t>KH-TQ07</t>
  </si>
  <si>
    <t>CÁNH DƯỚI</t>
  </si>
  <si>
    <t>KH-TQ08</t>
  </si>
  <si>
    <t>KH-TQ09</t>
  </si>
  <si>
    <t>SẬP NỐI CÁNH</t>
  </si>
  <si>
    <t>KH-TQ10</t>
  </si>
  <si>
    <t>Nẹp che phụ kiện</t>
  </si>
  <si>
    <t>E70D150</t>
  </si>
  <si>
    <t>CÁNH 150</t>
  </si>
  <si>
    <t>CÁNH ĐỨNG MÓC 6M</t>
  </si>
  <si>
    <t>C3328P</t>
  </si>
  <si>
    <t xml:space="preserve">Khung bao liền phào </t>
  </si>
  <si>
    <t>EPD98</t>
  </si>
  <si>
    <t>Cánh Cửa ĐI</t>
  </si>
  <si>
    <t>Cánh Cửa sổ</t>
  </si>
  <si>
    <t>C3313</t>
  </si>
  <si>
    <t>Đố Khung</t>
  </si>
  <si>
    <t>C3329A</t>
  </si>
  <si>
    <t>Ốp chân cánh</t>
  </si>
  <si>
    <t>C3323</t>
  </si>
  <si>
    <t>Đố dộng</t>
  </si>
  <si>
    <t>EPTD80</t>
  </si>
  <si>
    <t>Đố Cánh</t>
  </si>
  <si>
    <t>C3296</t>
  </si>
  <si>
    <t>Sập khung</t>
  </si>
  <si>
    <t>C3328</t>
  </si>
  <si>
    <t>Khung bao đơn</t>
  </si>
  <si>
    <t>C101</t>
  </si>
  <si>
    <t xml:space="preserve">SẬP VÁCH KÍNH </t>
  </si>
  <si>
    <t>E70T98</t>
  </si>
  <si>
    <t>E70-KA</t>
  </si>
  <si>
    <t>ÁO KHUNG</t>
  </si>
  <si>
    <t>D1409</t>
  </si>
  <si>
    <t>Sập vách kính hộp</t>
  </si>
  <si>
    <t>DH01</t>
  </si>
  <si>
    <t>Khung chính (Phào đại PĐ01)</t>
  </si>
  <si>
    <t>DH02</t>
  </si>
  <si>
    <t>Cột phụ (Phào đại PĐ02)</t>
  </si>
  <si>
    <t>DH03</t>
  </si>
  <si>
    <t xml:space="preserve"> Đế ốp (Phào đại PĐ03)</t>
  </si>
  <si>
    <t>Thanh ngang</t>
  </si>
  <si>
    <t>Phào Đỉnh</t>
  </si>
  <si>
    <t>Phào nối đỉnh</t>
  </si>
  <si>
    <t>ECS18</t>
  </si>
  <si>
    <t>Phào cân</t>
  </si>
  <si>
    <t>ECS13</t>
  </si>
  <si>
    <t>Thanh ngang xong 75mm</t>
  </si>
  <si>
    <t>PRK55</t>
  </si>
  <si>
    <t>Khung cửa đi và cửa sổ 55</t>
  </si>
  <si>
    <t>EPS78S</t>
  </si>
  <si>
    <t>Khung chấn song</t>
  </si>
  <si>
    <t>C3225</t>
  </si>
  <si>
    <t>Sập khung kính hộp</t>
  </si>
  <si>
    <t>PR2990</t>
  </si>
  <si>
    <t>Cánh cửa trượt 90</t>
  </si>
  <si>
    <t>PR55M90</t>
  </si>
  <si>
    <t>ECS11</t>
  </si>
  <si>
    <t>Nối khung 3cm</t>
  </si>
  <si>
    <t>Pano cánh 100</t>
  </si>
  <si>
    <t>tt-8831</t>
  </si>
  <si>
    <t>Phào ốp ngoài</t>
  </si>
  <si>
    <t>ITAK55</t>
  </si>
  <si>
    <t>ITAD91</t>
  </si>
  <si>
    <t>ITAS76</t>
  </si>
  <si>
    <t>ĐỐ CHIA KHUNG</t>
  </si>
  <si>
    <t>ĐỐ CÁNH 76</t>
  </si>
  <si>
    <t>ITAS14</t>
  </si>
  <si>
    <t>SẬP VÁCH</t>
  </si>
  <si>
    <t>ỐP ĐÁY CỪA ĐI</t>
  </si>
  <si>
    <t>PANO</t>
  </si>
  <si>
    <t>ITA5542</t>
  </si>
  <si>
    <t>KHUNG CỬA TRƯỢT</t>
  </si>
  <si>
    <t>ITA2966</t>
  </si>
  <si>
    <t>CÁNH CỬA TRƯỢT</t>
  </si>
  <si>
    <t>NẸP MÓC CỬA TRƯỢT</t>
  </si>
  <si>
    <t>NẸP SẬP CỬA 4 CÁNH</t>
  </si>
  <si>
    <t>EPD98S</t>
  </si>
  <si>
    <t>EPV01</t>
  </si>
  <si>
    <t>TẤM</t>
  </si>
  <si>
    <t>Tấm nhôm 1.8cm</t>
  </si>
  <si>
    <t>E70SH</t>
  </si>
  <si>
    <t>Sập kính thường</t>
  </si>
  <si>
    <t>Kg</t>
  </si>
  <si>
    <t>KH14</t>
  </si>
  <si>
    <t>CÁNH 180 5.2</t>
  </si>
  <si>
    <t>CÁNH 180 6m</t>
  </si>
  <si>
    <t>CAFÉ METALIC</t>
  </si>
  <si>
    <t>Thanh nhôm sơn tĩnh điện</t>
  </si>
  <si>
    <t>ĐVT</t>
  </si>
  <si>
    <t>EPV55</t>
  </si>
  <si>
    <t>0981191202</t>
  </si>
  <si>
    <t>Mã khách hàng:</t>
  </si>
  <si>
    <t>EPS78</t>
  </si>
  <si>
    <t>PR5512</t>
  </si>
  <si>
    <t>Ray mỏng cửa lùa</t>
  </si>
  <si>
    <t>E1283A</t>
  </si>
  <si>
    <t>E192</t>
  </si>
  <si>
    <t>CÁNH 180 5.8m</t>
  </si>
  <si>
    <t>H50*150</t>
  </si>
  <si>
    <t>Hộp 50*150</t>
  </si>
  <si>
    <t>E70KD</t>
  </si>
  <si>
    <t>E701A</t>
  </si>
  <si>
    <t>Khung liền phào</t>
  </si>
  <si>
    <t>E704</t>
  </si>
  <si>
    <t>Đố chia khung</t>
  </si>
  <si>
    <t>E70D110</t>
  </si>
  <si>
    <t>CÁNH CỬA ĐI 110</t>
  </si>
  <si>
    <t>E70S86</t>
  </si>
  <si>
    <t>Cánh cửa sổ E70</t>
  </si>
  <si>
    <t>E70D190</t>
  </si>
  <si>
    <t>CÁNH 190</t>
  </si>
  <si>
    <t>E70NK</t>
  </si>
  <si>
    <t>Nối khung</t>
  </si>
  <si>
    <t>Sập kính hộp</t>
  </si>
  <si>
    <t>Sập kính</t>
  </si>
  <si>
    <t>EPD138</t>
  </si>
  <si>
    <t>Cánh cửa đi 138</t>
  </si>
  <si>
    <t>Nẹp kính hôp</t>
  </si>
  <si>
    <t xml:space="preserve">Nẹp kính </t>
  </si>
  <si>
    <t>ECS12</t>
  </si>
  <si>
    <t>Song lục giác</t>
  </si>
  <si>
    <t>ECS14</t>
  </si>
  <si>
    <t>Phào 55mm</t>
  </si>
  <si>
    <t>ECS15</t>
  </si>
  <si>
    <t>Chấn song chữ nhật</t>
  </si>
  <si>
    <t>ECS17</t>
  </si>
  <si>
    <t>Hộp 25*120</t>
  </si>
  <si>
    <t>KH-TQ01A</t>
  </si>
  <si>
    <t>KH-TQ02A</t>
  </si>
  <si>
    <t>RAY KHUNG GIẢM CHẤN</t>
  </si>
  <si>
    <t>RAY CÁNH GIẢM CHẤN</t>
  </si>
  <si>
    <t>KHUNG 6M</t>
  </si>
  <si>
    <t>KHUNG 5.3M</t>
  </si>
  <si>
    <t>CÁNH ĐỨNG MÓC 5.3M</t>
  </si>
  <si>
    <t>CÁNH BẢN LỀ 6M</t>
  </si>
  <si>
    <t>CÁNH BẢN LỀ 5.3M</t>
  </si>
  <si>
    <t>CÁNH ĐỨNG NGOÀI 6m</t>
  </si>
  <si>
    <t>CÁNH ĐỨNG NGOÀI 5.3m</t>
  </si>
  <si>
    <t>Tấm nhôm 1cm</t>
  </si>
  <si>
    <t>INOX</t>
  </si>
  <si>
    <t>ray inox</t>
  </si>
  <si>
    <t>Khung bao cửa đi</t>
  </si>
  <si>
    <t>C 3303.1.4</t>
  </si>
  <si>
    <t>Cánh cửa đi mở quay ngoài</t>
  </si>
  <si>
    <t>Cánh cửa đi mở quay trong</t>
  </si>
  <si>
    <t>C 3304.1</t>
  </si>
  <si>
    <t>Đố ngang đáy cánh cửa đi</t>
  </si>
  <si>
    <t>C 3318</t>
  </si>
  <si>
    <t>Khung bao cửa sổ</t>
  </si>
  <si>
    <t>C 3202</t>
  </si>
  <si>
    <t>Cánh cửa sổ mở ngoài có móc</t>
  </si>
  <si>
    <t>C 3313</t>
  </si>
  <si>
    <t>Đố cố định chia khung cửa sổ</t>
  </si>
  <si>
    <t>C 3209.1</t>
  </si>
  <si>
    <t>C 3203.1</t>
  </si>
  <si>
    <t>Đố tĩnh chia vách kính</t>
  </si>
  <si>
    <t>C 3323</t>
  </si>
  <si>
    <t>C 3300</t>
  </si>
  <si>
    <t>Thanh nối CP2</t>
  </si>
  <si>
    <t>C 3295</t>
  </si>
  <si>
    <t>C 3236</t>
  </si>
  <si>
    <t>Nẹp kính 31 mm (K/hộp Chân 30)</t>
  </si>
  <si>
    <t>C 3296</t>
  </si>
  <si>
    <t>Nẹp kính 31 mm (K/đơn Chân 25)</t>
  </si>
  <si>
    <t>C 3225</t>
  </si>
  <si>
    <t>Nẹp kính 18 mm (K/hộp Chân 25)</t>
  </si>
  <si>
    <t>C 3208</t>
  </si>
  <si>
    <t>Đảo khung cửa sổ hệ 55</t>
  </si>
  <si>
    <t>Đố động cửa đi và cửa sổ</t>
  </si>
  <si>
    <t>EPV02</t>
  </si>
  <si>
    <t>Đế khung tranh</t>
  </si>
  <si>
    <t xml:space="preserve">Số phiếu: </t>
  </si>
  <si>
    <t xml:space="preserve">Số hóa đơn: </t>
  </si>
  <si>
    <t xml:space="preserve">Số đơn đặt hàng </t>
  </si>
  <si>
    <t>Tên hàng</t>
  </si>
  <si>
    <t xml:space="preserve">Nẹp kính 37 mm </t>
  </si>
  <si>
    <t>HND91</t>
  </si>
  <si>
    <t>Cánh 91</t>
  </si>
  <si>
    <t>VCBEURPPNAMANHHD</t>
  </si>
  <si>
    <t>C 3328 1.4</t>
  </si>
  <si>
    <t>C 3332 1.4</t>
  </si>
  <si>
    <t>C 3304.1.4</t>
  </si>
  <si>
    <t>C 3318 1.2</t>
  </si>
  <si>
    <t>C 3202 1.2</t>
  </si>
  <si>
    <t xml:space="preserve">Khung bao vách </t>
  </si>
  <si>
    <t>C 22903</t>
  </si>
  <si>
    <t>C3329</t>
  </si>
  <si>
    <t>C 3209</t>
  </si>
  <si>
    <t>KTL08</t>
  </si>
  <si>
    <t>Sập cánh kính hộp vuông</t>
  </si>
  <si>
    <t>KTL09</t>
  </si>
  <si>
    <t>Đế sập kính hộp</t>
  </si>
  <si>
    <t>E70KT</t>
  </si>
  <si>
    <t>Khung thấp E70</t>
  </si>
  <si>
    <t>HỘ KINH DOANH NAM ANH HD</t>
  </si>
  <si>
    <t>VN-04</t>
  </si>
  <si>
    <t>VN-08</t>
  </si>
  <si>
    <t>VN-01A</t>
  </si>
  <si>
    <t>VN-03</t>
  </si>
  <si>
    <t>VN-07</t>
  </si>
  <si>
    <t>VN-01B</t>
  </si>
  <si>
    <t>KH01CT</t>
  </si>
  <si>
    <t>CAFÉ</t>
  </si>
  <si>
    <t>Khung bao vách</t>
  </si>
  <si>
    <t>Số 374 Đường Nguyễn Thiện Thuật, Phường Mỹ Hào, Tỉnh Hưng Yên, Việt Nam</t>
  </si>
  <si>
    <t>EMD6577</t>
  </si>
  <si>
    <t>EMD65100</t>
  </si>
  <si>
    <t>EMDK46</t>
  </si>
  <si>
    <t>PHIẾU XUẤT KHO</t>
  </si>
  <si>
    <t>Café</t>
  </si>
  <si>
    <t>Xám NT</t>
  </si>
  <si>
    <t>café Metalic</t>
  </si>
  <si>
    <t>Xám Rita</t>
  </si>
  <si>
    <t>Café Preco</t>
  </si>
  <si>
    <t>Phào viền vát cạnh mới</t>
  </si>
  <si>
    <t>EPK16</t>
  </si>
  <si>
    <t xml:space="preserve">Mã số thuế: </t>
  </si>
  <si>
    <t>HNS76</t>
  </si>
  <si>
    <t>Cánh 76 trơn</t>
  </si>
  <si>
    <t xml:space="preserve">Ke U </t>
  </si>
  <si>
    <t>Ke U thủy lực</t>
  </si>
  <si>
    <t>Ray inox</t>
  </si>
  <si>
    <t>46 Phạm Thị Trân, KĐT Thái Hà, Phường Phạm Sư Mạnh, TP Hải Phòng, Việt Nam.</t>
  </si>
  <si>
    <t>KHUNG CS HỆ E70</t>
  </si>
  <si>
    <t>EPS12-125</t>
  </si>
  <si>
    <t xml:space="preserve">Cánh cửa đi </t>
  </si>
  <si>
    <t>Hoàng Bích Nguyệt</t>
  </si>
  <si>
    <t>EPS20-125</t>
  </si>
  <si>
    <t>EPD125</t>
  </si>
  <si>
    <t>cánh 125</t>
  </si>
  <si>
    <t>XÁM NGỌC TRAI</t>
  </si>
  <si>
    <t>Số lượng (bó)</t>
  </si>
  <si>
    <t>Pano phẳng 16</t>
  </si>
  <si>
    <t>eplus xám nt</t>
  </si>
  <si>
    <t>café metalic</t>
  </si>
  <si>
    <t>EPLUS XÁM NGỌC TRAI</t>
  </si>
  <si>
    <t>Xám nt</t>
  </si>
  <si>
    <t>café</t>
  </si>
  <si>
    <t>Ngày 24 tháng 02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</si>
</sst>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00"/>
    <numFmt numFmtId="165" formatCode="_(* #,##0.000_);_(* \(#,##0.000\);_(* &quot;-&quot;??_);_(@_)"/>
    <numFmt numFmtId="168" formatCode="_(* #,##0_);_(* \(#,##0\);_(* &quot;-&quot;??_);_(@_)"/>
    <numFmt numFmtId="169" formatCode="_(* #,##0.000_);_(* \(#,##0.000\);_(* &quot;-&quot;?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name val="Times New Roman"/>
      <family val="1"/>
    </font>
    <font>
      <i/>
      <sz val="12"/>
      <color theme="1"/>
      <name val="Times New Roman"/>
      <family val="1"/>
    </font>
    <font>
      <sz val="12"/>
      <name val=".VnTime"/>
      <family val="2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  <font>
      <sz val="14"/>
      <color theme="1"/>
      <name val="Times New Roman"/>
      <family val="2"/>
    </font>
    <font>
      <sz val="14"/>
      <name val=".VnTime"/>
      <family val="2"/>
    </font>
    <font>
      <sz val="11"/>
      <color theme="1"/>
      <name val="Times New Roman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43" fontId="1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6" fillId="0" borderId="0"/>
    <xf numFmtId="0" fontId="16" fillId="0" borderId="0"/>
    <xf numFmtId="0" fontId="17" fillId="0" borderId="0"/>
    <xf numFmtId="43" fontId="11" fillId="0" borderId="0" applyFont="0" applyFill="0" applyBorder="0" applyAlignment="0" applyProtection="0"/>
  </cellStyleXfs>
  <cellXfs count="172">
    <xf numFmtId="0" fontId="0" fillId="0" borderId="0" xfId="0"/>
    <xf numFmtId="1" fontId="2" fillId="0" borderId="0" xfId="1" applyNumberFormat="1" applyFont="1" applyFill="1" applyBorder="1" applyAlignment="1">
      <alignment horizontal="left" vertical="top"/>
    </xf>
    <xf numFmtId="1" fontId="3" fillId="0" borderId="0" xfId="1" applyNumberFormat="1" applyFont="1" applyFill="1" applyBorder="1" applyAlignment="1">
      <alignment vertical="top"/>
    </xf>
    <xf numFmtId="164" fontId="3" fillId="0" borderId="0" xfId="1" applyNumberFormat="1" applyFont="1" applyFill="1" applyBorder="1" applyAlignment="1">
      <alignment vertical="top"/>
    </xf>
    <xf numFmtId="165" fontId="3" fillId="0" borderId="0" xfId="1" applyNumberFormat="1" applyFont="1" applyFill="1" applyBorder="1" applyAlignment="1">
      <alignment vertical="top"/>
    </xf>
    <xf numFmtId="1" fontId="5" fillId="0" borderId="0" xfId="1" applyNumberFormat="1" applyFont="1" applyFill="1"/>
    <xf numFmtId="0" fontId="5" fillId="0" borderId="0" xfId="0" applyFont="1"/>
    <xf numFmtId="0" fontId="7" fillId="0" borderId="0" xfId="0" applyFont="1" applyAlignment="1">
      <alignment horizontal="center" vertical="center"/>
    </xf>
    <xf numFmtId="1" fontId="5" fillId="0" borderId="0" xfId="1" applyNumberFormat="1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/>
    </xf>
    <xf numFmtId="1" fontId="9" fillId="0" borderId="0" xfId="1" applyNumberFormat="1" applyFont="1" applyFill="1" applyAlignment="1">
      <alignment horizontal="center"/>
    </xf>
    <xf numFmtId="1" fontId="9" fillId="0" borderId="0" xfId="1" applyNumberFormat="1" applyFont="1" applyFill="1" applyAlignment="1">
      <alignment horizontal="left" vertical="center"/>
    </xf>
    <xf numFmtId="165" fontId="9" fillId="0" borderId="0" xfId="1" applyNumberFormat="1" applyFont="1" applyFill="1" applyAlignment="1">
      <alignment horizontal="left" vertical="center"/>
    </xf>
    <xf numFmtId="1" fontId="9" fillId="0" borderId="0" xfId="1" applyNumberFormat="1" applyFont="1" applyFill="1" applyAlignment="1"/>
    <xf numFmtId="165" fontId="6" fillId="0" borderId="0" xfId="1" applyNumberFormat="1" applyFont="1" applyFill="1" applyAlignment="1">
      <alignment horizontal="center" vertical="center"/>
    </xf>
    <xf numFmtId="1" fontId="9" fillId="0" borderId="0" xfId="1" applyNumberFormat="1" applyFont="1" applyFill="1" applyAlignment="1">
      <alignment horizontal="center" vertical="center"/>
    </xf>
    <xf numFmtId="1" fontId="5" fillId="0" borderId="0" xfId="1" applyNumberFormat="1" applyFont="1" applyFill="1" applyAlignment="1">
      <alignment vertical="center"/>
    </xf>
    <xf numFmtId="165" fontId="5" fillId="0" borderId="0" xfId="1" applyNumberFormat="1" applyFont="1" applyFill="1" applyAlignment="1">
      <alignment vertical="center"/>
    </xf>
    <xf numFmtId="1" fontId="9" fillId="0" borderId="0" xfId="1" applyNumberFormat="1" applyFont="1" applyFill="1" applyAlignment="1">
      <alignment vertical="center"/>
    </xf>
    <xf numFmtId="1" fontId="3" fillId="0" borderId="0" xfId="1" applyNumberFormat="1" applyFont="1" applyFill="1"/>
    <xf numFmtId="1" fontId="3" fillId="0" borderId="0" xfId="1" applyNumberFormat="1" applyFont="1" applyFill="1" applyAlignment="1">
      <alignment vertical="center"/>
    </xf>
    <xf numFmtId="165" fontId="3" fillId="0" borderId="0" xfId="1" applyNumberFormat="1" applyFont="1" applyFill="1" applyAlignment="1">
      <alignment horizontal="center" vertical="center"/>
    </xf>
    <xf numFmtId="1" fontId="5" fillId="0" borderId="0" xfId="1" applyNumberFormat="1" applyFont="1" applyFill="1" applyAlignment="1">
      <alignment horizontal="center"/>
    </xf>
    <xf numFmtId="165" fontId="5" fillId="0" borderId="0" xfId="1" applyNumberFormat="1" applyFont="1" applyFill="1" applyAlignment="1">
      <alignment horizontal="center" vertical="center"/>
    </xf>
    <xf numFmtId="168" fontId="2" fillId="0" borderId="6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1" applyNumberFormat="1" applyFont="1" applyFill="1" applyBorder="1" applyAlignment="1">
      <alignment horizontal="center" vertical="center"/>
    </xf>
    <xf numFmtId="0" fontId="5" fillId="0" borderId="0" xfId="1" applyNumberFormat="1" applyFont="1" applyFill="1" applyAlignment="1">
      <alignment horizontal="center" vertical="center"/>
    </xf>
    <xf numFmtId="0" fontId="8" fillId="0" borderId="0" xfId="1" applyNumberFormat="1" applyFont="1" applyFill="1" applyAlignment="1">
      <alignment horizontal="center" vertical="center"/>
    </xf>
    <xf numFmtId="0" fontId="9" fillId="0" borderId="0" xfId="1" applyNumberFormat="1" applyFont="1" applyFill="1" applyAlignment="1">
      <alignment horizontal="center" vertical="center"/>
    </xf>
    <xf numFmtId="0" fontId="6" fillId="0" borderId="0" xfId="1" applyNumberFormat="1" applyFont="1" applyFill="1" applyAlignment="1">
      <alignment horizontal="center" vertical="center"/>
    </xf>
    <xf numFmtId="0" fontId="6" fillId="0" borderId="0" xfId="1" applyNumberFormat="1" applyFont="1" applyFill="1" applyBorder="1" applyAlignment="1">
      <alignment horizontal="center" vertical="center"/>
    </xf>
    <xf numFmtId="1" fontId="4" fillId="0" borderId="8" xfId="1" applyNumberFormat="1" applyFont="1" applyFill="1" applyBorder="1" applyAlignment="1">
      <alignment horizontal="center" vertical="center" wrapText="1"/>
    </xf>
    <xf numFmtId="1" fontId="13" fillId="0" borderId="6" xfId="1" applyNumberFormat="1" applyFont="1" applyFill="1" applyBorder="1" applyAlignment="1">
      <alignment horizontal="center" vertical="center" wrapText="1"/>
    </xf>
    <xf numFmtId="1" fontId="13" fillId="0" borderId="6" xfId="1" applyNumberFormat="1" applyFont="1" applyFill="1" applyBorder="1" applyAlignment="1">
      <alignment horizontal="left" vertical="center" wrapText="1"/>
    </xf>
    <xf numFmtId="165" fontId="13" fillId="0" borderId="2" xfId="1" applyNumberFormat="1" applyFont="1" applyFill="1" applyBorder="1" applyAlignment="1">
      <alignment horizontal="center" vertical="center" wrapText="1"/>
    </xf>
    <xf numFmtId="0" fontId="13" fillId="0" borderId="2" xfId="1" applyNumberFormat="1" applyFont="1" applyFill="1" applyBorder="1" applyAlignment="1">
      <alignment horizontal="center" vertical="center" wrapText="1"/>
    </xf>
    <xf numFmtId="1" fontId="14" fillId="0" borderId="8" xfId="1" applyNumberFormat="1" applyFont="1" applyFill="1" applyBorder="1" applyAlignment="1">
      <alignment horizontal="center" vertical="center" wrapText="1"/>
    </xf>
    <xf numFmtId="1" fontId="14" fillId="0" borderId="2" xfId="1" applyNumberFormat="1" applyFont="1" applyFill="1" applyBorder="1" applyAlignment="1">
      <alignment horizontal="center" vertical="center" wrapText="1"/>
    </xf>
    <xf numFmtId="1" fontId="13" fillId="0" borderId="2" xfId="1" applyNumberFormat="1" applyFont="1" applyFill="1" applyBorder="1" applyAlignment="1">
      <alignment horizontal="center" vertical="center" wrapText="1"/>
    </xf>
    <xf numFmtId="1" fontId="13" fillId="0" borderId="2" xfId="1" applyNumberFormat="1" applyFont="1" applyFill="1" applyBorder="1" applyAlignment="1">
      <alignment horizontal="center" wrapText="1"/>
    </xf>
    <xf numFmtId="0" fontId="2" fillId="0" borderId="0" xfId="0" applyFont="1" applyAlignment="1">
      <alignment vertical="top"/>
    </xf>
    <xf numFmtId="0" fontId="10" fillId="0" borderId="0" xfId="0" applyFont="1" applyAlignment="1">
      <alignment vertical="center" wrapText="1"/>
    </xf>
    <xf numFmtId="0" fontId="3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Alignment="1">
      <alignment vertical="center"/>
    </xf>
    <xf numFmtId="1" fontId="9" fillId="0" borderId="0" xfId="1" applyNumberFormat="1" applyFont="1" applyFill="1" applyAlignment="1">
      <alignment horizontal="left"/>
    </xf>
    <xf numFmtId="43" fontId="9" fillId="0" borderId="0" xfId="1" applyFont="1" applyFill="1" applyAlignment="1">
      <alignment horizontal="left"/>
    </xf>
    <xf numFmtId="1" fontId="3" fillId="0" borderId="0" xfId="1" applyNumberFormat="1" applyFont="1" applyFill="1" applyAlignment="1">
      <alignment horizontal="center"/>
    </xf>
    <xf numFmtId="1" fontId="3" fillId="0" borderId="0" xfId="1" applyNumberFormat="1" applyFont="1" applyFill="1" applyAlignment="1">
      <alignment horizontal="left" vertical="center"/>
    </xf>
    <xf numFmtId="1" fontId="2" fillId="0" borderId="0" xfId="1" applyNumberFormat="1" applyFont="1" applyFill="1" applyAlignment="1">
      <alignment horizontal="left" vertical="center"/>
    </xf>
    <xf numFmtId="1" fontId="13" fillId="0" borderId="6" xfId="1" applyNumberFormat="1" applyFont="1" applyFill="1" applyBorder="1" applyAlignment="1">
      <alignment vertical="center" wrapText="1"/>
    </xf>
    <xf numFmtId="1" fontId="13" fillId="0" borderId="7" xfId="1" applyNumberFormat="1" applyFont="1" applyFill="1" applyBorder="1" applyAlignment="1">
      <alignment horizontal="left" vertical="center" wrapText="1"/>
    </xf>
    <xf numFmtId="165" fontId="13" fillId="0" borderId="2" xfId="1" applyNumberFormat="1" applyFont="1" applyFill="1" applyBorder="1" applyAlignment="1">
      <alignment horizontal="left" vertical="center" wrapText="1"/>
    </xf>
    <xf numFmtId="0" fontId="13" fillId="0" borderId="2" xfId="1" applyNumberFormat="1" applyFont="1" applyFill="1" applyBorder="1" applyAlignment="1">
      <alignment horizontal="left" vertical="center" wrapText="1"/>
    </xf>
    <xf numFmtId="1" fontId="2" fillId="0" borderId="0" xfId="1" applyNumberFormat="1" applyFont="1" applyFill="1" applyAlignment="1"/>
    <xf numFmtId="1" fontId="6" fillId="0" borderId="0" xfId="1" applyNumberFormat="1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1" fontId="6" fillId="0" borderId="0" xfId="1" applyNumberFormat="1" applyFont="1" applyFill="1" applyBorder="1" applyAlignment="1">
      <alignment vertical="top"/>
    </xf>
    <xf numFmtId="1" fontId="2" fillId="0" borderId="0" xfId="1" applyNumberFormat="1" applyFont="1" applyFill="1" applyAlignment="1">
      <alignment horizontal="left"/>
    </xf>
    <xf numFmtId="0" fontId="2" fillId="0" borderId="0" xfId="0" applyFont="1" applyAlignment="1">
      <alignment vertical="center"/>
    </xf>
    <xf numFmtId="1" fontId="3" fillId="0" borderId="0" xfId="1" applyNumberFormat="1" applyFont="1" applyFill="1" applyBorder="1" applyAlignment="1">
      <alignment horizontal="left" vertical="top"/>
    </xf>
    <xf numFmtId="1" fontId="6" fillId="0" borderId="0" xfId="1" applyNumberFormat="1" applyFont="1" applyFill="1" applyBorder="1" applyAlignment="1">
      <alignment horizontal="left" vertical="top"/>
    </xf>
    <xf numFmtId="1" fontId="5" fillId="0" borderId="0" xfId="1" applyNumberFormat="1" applyFont="1" applyFill="1" applyAlignment="1">
      <alignment horizontal="left"/>
    </xf>
    <xf numFmtId="1" fontId="8" fillId="0" borderId="0" xfId="1" applyNumberFormat="1" applyFont="1" applyFill="1" applyAlignment="1">
      <alignment horizontal="left"/>
    </xf>
    <xf numFmtId="1" fontId="2" fillId="0" borderId="7" xfId="1" applyNumberFormat="1" applyFont="1" applyFill="1" applyBorder="1" applyAlignment="1">
      <alignment horizontal="left" vertical="center" wrapText="1"/>
    </xf>
    <xf numFmtId="1" fontId="5" fillId="0" borderId="0" xfId="1" applyNumberFormat="1" applyFont="1" applyFill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68" fontId="3" fillId="0" borderId="0" xfId="1" applyNumberFormat="1" applyFont="1" applyFill="1" applyBorder="1"/>
    <xf numFmtId="43" fontId="9" fillId="0" borderId="3" xfId="1" applyFont="1" applyFill="1" applyBorder="1" applyAlignment="1">
      <alignment vertical="center"/>
    </xf>
    <xf numFmtId="43" fontId="9" fillId="0" borderId="4" xfId="1" applyFont="1" applyFill="1" applyBorder="1" applyAlignment="1">
      <alignment vertical="center"/>
    </xf>
    <xf numFmtId="1" fontId="6" fillId="0" borderId="0" xfId="1" applyNumberFormat="1" applyFont="1" applyFill="1" applyAlignment="1">
      <alignment wrapText="1"/>
    </xf>
    <xf numFmtId="1" fontId="14" fillId="0" borderId="6" xfId="1" applyNumberFormat="1" applyFont="1" applyFill="1" applyBorder="1" applyAlignment="1">
      <alignment horizontal="center" vertical="center" wrapText="1"/>
    </xf>
    <xf numFmtId="43" fontId="0" fillId="0" borderId="0" xfId="1" applyFont="1" applyFill="1"/>
    <xf numFmtId="1" fontId="4" fillId="0" borderId="6" xfId="1" applyNumberFormat="1" applyFont="1" applyFill="1" applyBorder="1" applyAlignment="1">
      <alignment horizontal="center" vertical="center" wrapText="1"/>
    </xf>
    <xf numFmtId="1" fontId="14" fillId="0" borderId="6" xfId="0" applyNumberFormat="1" applyFont="1" applyBorder="1" applyAlignment="1">
      <alignment horizontal="center" vertical="center"/>
    </xf>
    <xf numFmtId="169" fontId="0" fillId="0" borderId="0" xfId="0" applyNumberFormat="1"/>
    <xf numFmtId="43" fontId="0" fillId="0" borderId="0" xfId="0" applyNumberFormat="1"/>
    <xf numFmtId="0" fontId="13" fillId="0" borderId="7" xfId="0" applyFont="1" applyBorder="1" applyAlignment="1">
      <alignment horizontal="left"/>
    </xf>
    <xf numFmtId="0" fontId="13" fillId="0" borderId="6" xfId="0" applyFont="1" applyBorder="1"/>
    <xf numFmtId="0" fontId="13" fillId="0" borderId="2" xfId="0" applyFont="1" applyBorder="1"/>
    <xf numFmtId="0" fontId="13" fillId="0" borderId="2" xfId="1" applyNumberFormat="1" applyFont="1" applyFill="1" applyBorder="1" applyAlignment="1">
      <alignment horizontal="center" vertical="center"/>
    </xf>
    <xf numFmtId="0" fontId="13" fillId="0" borderId="5" xfId="0" applyFont="1" applyBorder="1" applyAlignment="1">
      <alignment horizontal="left"/>
    </xf>
    <xf numFmtId="0" fontId="13" fillId="0" borderId="6" xfId="1" applyNumberFormat="1" applyFont="1" applyFill="1" applyBorder="1" applyAlignment="1">
      <alignment horizontal="center" vertical="center"/>
    </xf>
    <xf numFmtId="0" fontId="13" fillId="0" borderId="6" xfId="0" applyFont="1" applyBorder="1" applyAlignment="1">
      <alignment horizontal="left"/>
    </xf>
    <xf numFmtId="0" fontId="13" fillId="0" borderId="6" xfId="1" applyNumberFormat="1" applyFont="1" applyFill="1" applyBorder="1" applyAlignment="1">
      <alignment horizontal="left" vertical="center"/>
    </xf>
    <xf numFmtId="43" fontId="18" fillId="0" borderId="0" xfId="1" applyFont="1" applyFill="1"/>
    <xf numFmtId="168" fontId="18" fillId="0" borderId="0" xfId="1" applyNumberFormat="1" applyFont="1" applyFill="1"/>
    <xf numFmtId="0" fontId="4" fillId="0" borderId="0" xfId="0" applyFont="1" applyAlignment="1">
      <alignment horizontal="center" vertical="center"/>
    </xf>
    <xf numFmtId="168" fontId="5" fillId="0" borderId="6" xfId="1" applyNumberFormat="1" applyFont="1" applyFill="1" applyBorder="1"/>
    <xf numFmtId="43" fontId="5" fillId="0" borderId="0" xfId="1" applyFont="1" applyFill="1"/>
    <xf numFmtId="0" fontId="0" fillId="0" borderId="0" xfId="0" applyAlignment="1">
      <alignment horizontal="center" vertical="center"/>
    </xf>
    <xf numFmtId="1" fontId="2" fillId="0" borderId="0" xfId="1" applyNumberFormat="1" applyFont="1" applyFill="1"/>
    <xf numFmtId="1" fontId="9" fillId="0" borderId="0" xfId="1" applyNumberFormat="1" applyFont="1" applyFill="1" applyBorder="1" applyAlignment="1">
      <alignment horizontal="left" vertical="top"/>
    </xf>
    <xf numFmtId="1" fontId="9" fillId="0" borderId="0" xfId="1" applyNumberFormat="1" applyFont="1" applyFill="1" applyBorder="1" applyAlignment="1"/>
    <xf numFmtId="168" fontId="3" fillId="0" borderId="3" xfId="1" applyNumberFormat="1" applyFont="1" applyFill="1" applyBorder="1" applyAlignment="1">
      <alignment vertical="center"/>
    </xf>
    <xf numFmtId="168" fontId="3" fillId="0" borderId="5" xfId="1" applyNumberFormat="1" applyFont="1" applyFill="1" applyBorder="1" applyAlignment="1">
      <alignment vertical="center"/>
    </xf>
    <xf numFmtId="168" fontId="3" fillId="0" borderId="6" xfId="1" applyNumberFormat="1" applyFont="1" applyFill="1" applyBorder="1"/>
    <xf numFmtId="1" fontId="9" fillId="0" borderId="0" xfId="1" applyNumberFormat="1" applyFont="1" applyFill="1" applyBorder="1" applyAlignment="1">
      <alignment horizontal="left" vertical="center"/>
    </xf>
    <xf numFmtId="0" fontId="12" fillId="0" borderId="0" xfId="0" applyFont="1"/>
    <xf numFmtId="1" fontId="6" fillId="0" borderId="0" xfId="1" applyNumberFormat="1" applyFont="1" applyFill="1" applyBorder="1" applyAlignment="1">
      <alignment horizontal="left" vertical="center"/>
    </xf>
    <xf numFmtId="1" fontId="9" fillId="0" borderId="3" xfId="1" applyNumberFormat="1" applyFont="1" applyFill="1" applyBorder="1" applyAlignment="1">
      <alignment vertical="center"/>
    </xf>
    <xf numFmtId="1" fontId="9" fillId="0" borderId="5" xfId="1" applyNumberFormat="1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1" fontId="9" fillId="0" borderId="6" xfId="1" applyNumberFormat="1" applyFont="1" applyFill="1" applyBorder="1" applyAlignment="1">
      <alignment horizontal="center"/>
    </xf>
    <xf numFmtId="43" fontId="12" fillId="0" borderId="0" xfId="1" applyFont="1" applyFill="1"/>
    <xf numFmtId="1" fontId="0" fillId="0" borderId="0" xfId="0" applyNumberFormat="1"/>
    <xf numFmtId="1" fontId="6" fillId="0" borderId="0" xfId="1" applyNumberFormat="1" applyFont="1" applyFill="1"/>
    <xf numFmtId="165" fontId="6" fillId="0" borderId="0" xfId="1" applyNumberFormat="1" applyFont="1" applyFill="1" applyAlignment="1">
      <alignment vertical="center"/>
    </xf>
    <xf numFmtId="1" fontId="14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vertical="center"/>
    </xf>
    <xf numFmtId="43" fontId="4" fillId="0" borderId="0" xfId="1" applyFont="1" applyFill="1"/>
    <xf numFmtId="0" fontId="4" fillId="0" borderId="0" xfId="0" applyFont="1"/>
    <xf numFmtId="165" fontId="10" fillId="0" borderId="0" xfId="1" applyNumberFormat="1" applyFont="1" applyFill="1" applyAlignment="1">
      <alignment vertical="center"/>
    </xf>
    <xf numFmtId="0" fontId="10" fillId="0" borderId="0" xfId="0" applyFont="1" applyAlignment="1">
      <alignment horizontal="left" vertical="center" wrapText="1"/>
    </xf>
    <xf numFmtId="0" fontId="10" fillId="0" borderId="0" xfId="1" applyNumberFormat="1" applyFont="1" applyFill="1" applyAlignment="1">
      <alignment horizontal="center" vertical="center" wrapText="1"/>
    </xf>
    <xf numFmtId="165" fontId="0" fillId="0" borderId="0" xfId="1" applyNumberFormat="1" applyFont="1" applyFill="1" applyAlignment="1">
      <alignment vertical="center"/>
    </xf>
    <xf numFmtId="0" fontId="0" fillId="0" borderId="0" xfId="1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1" fontId="3" fillId="0" borderId="0" xfId="1" applyNumberFormat="1" applyFont="1" applyFill="1" applyBorder="1" applyAlignment="1">
      <alignment horizontal="left" vertical="top" wrapText="1"/>
    </xf>
    <xf numFmtId="1" fontId="8" fillId="0" borderId="0" xfId="1" applyNumberFormat="1" applyFont="1" applyFill="1" applyAlignment="1">
      <alignment horizontal="center" vertical="center"/>
    </xf>
    <xf numFmtId="1" fontId="6" fillId="0" borderId="0" xfId="1" applyNumberFormat="1" applyFont="1" applyFill="1" applyAlignment="1">
      <alignment horizontal="left" wrapText="1"/>
    </xf>
    <xf numFmtId="168" fontId="3" fillId="0" borderId="0" xfId="1" applyNumberFormat="1" applyFont="1" applyFill="1" applyBorder="1" applyAlignment="1">
      <alignment horizontal="left" vertical="center"/>
    </xf>
    <xf numFmtId="1" fontId="9" fillId="0" borderId="6" xfId="1" applyNumberFormat="1" applyFont="1" applyFill="1" applyBorder="1" applyAlignment="1">
      <alignment horizontal="center" vertical="center"/>
    </xf>
    <xf numFmtId="1" fontId="2" fillId="0" borderId="6" xfId="1" applyNumberFormat="1" applyFont="1" applyFill="1" applyBorder="1" applyAlignment="1">
      <alignment horizontal="center" vertical="center" wrapText="1"/>
    </xf>
    <xf numFmtId="165" fontId="2" fillId="0" borderId="2" xfId="1" applyNumberFormat="1" applyFont="1" applyFill="1" applyBorder="1" applyAlignment="1">
      <alignment horizontal="center" vertical="center" wrapText="1"/>
    </xf>
    <xf numFmtId="0" fontId="2" fillId="0" borderId="2" xfId="1" applyNumberFormat="1" applyFont="1" applyFill="1" applyBorder="1" applyAlignment="1">
      <alignment horizontal="center" vertical="center" wrapText="1"/>
    </xf>
    <xf numFmtId="1" fontId="8" fillId="0" borderId="0" xfId="1" applyNumberFormat="1" applyFont="1" applyFill="1" applyAlignment="1">
      <alignment horizontal="center"/>
    </xf>
    <xf numFmtId="165" fontId="10" fillId="0" borderId="0" xfId="1" applyNumberFormat="1" applyFont="1" applyFill="1" applyAlignment="1">
      <alignment horizontal="center" vertical="center"/>
    </xf>
    <xf numFmtId="1" fontId="4" fillId="0" borderId="3" xfId="1" applyNumberFormat="1" applyFont="1" applyFill="1" applyBorder="1" applyAlignment="1">
      <alignment horizontal="center" vertical="center" wrapText="1"/>
    </xf>
    <xf numFmtId="1" fontId="19" fillId="0" borderId="2" xfId="1" applyNumberFormat="1" applyFont="1" applyFill="1" applyBorder="1" applyAlignment="1">
      <alignment horizontal="center" vertical="center" wrapText="1"/>
    </xf>
    <xf numFmtId="1" fontId="14" fillId="2" borderId="8" xfId="1" applyNumberFormat="1" applyFont="1" applyFill="1" applyBorder="1" applyAlignment="1">
      <alignment horizontal="center" vertical="center" wrapText="1"/>
    </xf>
    <xf numFmtId="1" fontId="14" fillId="2" borderId="6" xfId="1" applyNumberFormat="1" applyFont="1" applyFill="1" applyBorder="1" applyAlignment="1">
      <alignment horizontal="center" vertical="center" wrapText="1"/>
    </xf>
    <xf numFmtId="1" fontId="3" fillId="0" borderId="0" xfId="1" applyNumberFormat="1" applyFont="1" applyFill="1" applyBorder="1" applyAlignment="1">
      <alignment horizontal="left" vertical="top" wrapText="1"/>
    </xf>
    <xf numFmtId="1" fontId="3" fillId="0" borderId="0" xfId="1" applyNumberFormat="1" applyFont="1" applyFill="1" applyAlignment="1">
      <alignment horizontal="center" vertical="center"/>
    </xf>
    <xf numFmtId="1" fontId="6" fillId="0" borderId="0" xfId="1" applyNumberFormat="1" applyFont="1" applyFill="1" applyAlignment="1">
      <alignment horizontal="left" wrapText="1"/>
    </xf>
    <xf numFmtId="0" fontId="4" fillId="0" borderId="6" xfId="0" applyFont="1" applyBorder="1" applyAlignment="1">
      <alignment horizontal="center" vertical="center" wrapText="1"/>
    </xf>
    <xf numFmtId="1" fontId="2" fillId="0" borderId="6" xfId="1" applyNumberFormat="1" applyFont="1" applyFill="1" applyBorder="1" applyAlignment="1">
      <alignment horizontal="center" vertical="center" wrapText="1"/>
    </xf>
    <xf numFmtId="165" fontId="2" fillId="0" borderId="1" xfId="1" applyNumberFormat="1" applyFont="1" applyFill="1" applyBorder="1" applyAlignment="1">
      <alignment horizontal="center" vertical="center" wrapText="1"/>
    </xf>
    <xf numFmtId="165" fontId="2" fillId="0" borderId="2" xfId="1" applyNumberFormat="1" applyFont="1" applyFill="1" applyBorder="1" applyAlignment="1">
      <alignment horizontal="center" vertical="center" wrapText="1"/>
    </xf>
    <xf numFmtId="0" fontId="2" fillId="0" borderId="1" xfId="1" applyNumberFormat="1" applyFont="1" applyFill="1" applyBorder="1" applyAlignment="1">
      <alignment horizontal="center" vertical="center" wrapText="1"/>
    </xf>
    <xf numFmtId="0" fontId="2" fillId="0" borderId="2" xfId="1" applyNumberFormat="1" applyFont="1" applyFill="1" applyBorder="1" applyAlignment="1">
      <alignment horizontal="center" vertical="center" wrapText="1"/>
    </xf>
    <xf numFmtId="43" fontId="9" fillId="0" borderId="6" xfId="1" applyFont="1" applyFill="1" applyBorder="1" applyAlignment="1">
      <alignment horizontal="center"/>
    </xf>
    <xf numFmtId="1" fontId="9" fillId="0" borderId="3" xfId="1" applyNumberFormat="1" applyFont="1" applyFill="1" applyBorder="1" applyAlignment="1">
      <alignment horizontal="center" vertical="center"/>
    </xf>
    <xf numFmtId="1" fontId="9" fillId="0" borderId="4" xfId="1" applyNumberFormat="1" applyFont="1" applyFill="1" applyBorder="1" applyAlignment="1">
      <alignment horizontal="center" vertical="center"/>
    </xf>
    <xf numFmtId="1" fontId="2" fillId="0" borderId="3" xfId="1" applyNumberFormat="1" applyFont="1" applyFill="1" applyBorder="1" applyAlignment="1">
      <alignment horizontal="center" vertical="center" wrapText="1"/>
    </xf>
    <xf numFmtId="1" fontId="2" fillId="0" borderId="5" xfId="1" applyNumberFormat="1" applyFont="1" applyFill="1" applyBorder="1" applyAlignment="1">
      <alignment horizontal="center" vertical="center" wrapText="1"/>
    </xf>
    <xf numFmtId="1" fontId="9" fillId="0" borderId="5" xfId="1" applyNumberFormat="1" applyFont="1" applyFill="1" applyBorder="1" applyAlignment="1">
      <alignment horizontal="center" vertical="center"/>
    </xf>
    <xf numFmtId="1" fontId="9" fillId="0" borderId="6" xfId="1" applyNumberFormat="1" applyFont="1" applyFill="1" applyBorder="1" applyAlignment="1">
      <alignment horizontal="center" vertical="center"/>
    </xf>
    <xf numFmtId="168" fontId="2" fillId="0" borderId="3" xfId="1" applyNumberFormat="1" applyFont="1" applyFill="1" applyBorder="1" applyAlignment="1">
      <alignment horizontal="center" vertical="center" wrapText="1"/>
    </xf>
    <xf numFmtId="168" fontId="2" fillId="0" borderId="4" xfId="1" applyNumberFormat="1" applyFont="1" applyFill="1" applyBorder="1" applyAlignment="1">
      <alignment horizontal="center" vertical="center" wrapText="1"/>
    </xf>
    <xf numFmtId="168" fontId="2" fillId="0" borderId="5" xfId="1" applyNumberFormat="1" applyFont="1" applyFill="1" applyBorder="1" applyAlignment="1">
      <alignment horizontal="center" vertical="center" wrapText="1"/>
    </xf>
    <xf numFmtId="1" fontId="4" fillId="0" borderId="3" xfId="1" applyNumberFormat="1" applyFont="1" applyFill="1" applyBorder="1" applyAlignment="1">
      <alignment horizontal="center" vertical="center" wrapText="1"/>
    </xf>
    <xf numFmtId="1" fontId="4" fillId="0" borderId="4" xfId="1" applyNumberFormat="1" applyFont="1" applyFill="1" applyBorder="1" applyAlignment="1">
      <alignment horizontal="center" vertical="center" wrapText="1"/>
    </xf>
    <xf numFmtId="1" fontId="4" fillId="0" borderId="5" xfId="1" applyNumberFormat="1" applyFont="1" applyFill="1" applyBorder="1" applyAlignment="1">
      <alignment horizontal="center" vertical="center" wrapText="1"/>
    </xf>
    <xf numFmtId="1" fontId="2" fillId="0" borderId="1" xfId="1" applyNumberFormat="1" applyFont="1" applyFill="1" applyBorder="1" applyAlignment="1">
      <alignment horizontal="left" vertical="center" wrapText="1"/>
    </xf>
    <xf numFmtId="1" fontId="2" fillId="0" borderId="2" xfId="1" applyNumberFormat="1" applyFont="1" applyFill="1" applyBorder="1" applyAlignment="1">
      <alignment horizontal="left" vertical="center" wrapText="1"/>
    </xf>
    <xf numFmtId="1" fontId="8" fillId="0" borderId="0" xfId="1" applyNumberFormat="1" applyFont="1" applyFill="1" applyAlignment="1">
      <alignment horizontal="center"/>
    </xf>
    <xf numFmtId="168" fontId="3" fillId="0" borderId="3" xfId="1" applyNumberFormat="1" applyFont="1" applyFill="1" applyBorder="1" applyAlignment="1">
      <alignment horizontal="left" vertical="center"/>
    </xf>
    <xf numFmtId="168" fontId="3" fillId="0" borderId="4" xfId="1" applyNumberFormat="1" applyFont="1" applyFill="1" applyBorder="1" applyAlignment="1">
      <alignment horizontal="left" vertical="center"/>
    </xf>
    <xf numFmtId="168" fontId="3" fillId="0" borderId="5" xfId="1" applyNumberFormat="1" applyFont="1" applyFill="1" applyBorder="1" applyAlignment="1">
      <alignment horizontal="left" vertical="center"/>
    </xf>
    <xf numFmtId="168" fontId="3" fillId="0" borderId="3" xfId="1" applyNumberFormat="1" applyFont="1" applyFill="1" applyBorder="1" applyAlignment="1">
      <alignment horizontal="left"/>
    </xf>
    <xf numFmtId="168" fontId="3" fillId="0" borderId="4" xfId="1" applyNumberFormat="1" applyFont="1" applyFill="1" applyBorder="1" applyAlignment="1">
      <alignment horizontal="left"/>
    </xf>
    <xf numFmtId="168" fontId="3" fillId="0" borderId="5" xfId="1" applyNumberFormat="1" applyFont="1" applyFill="1" applyBorder="1" applyAlignment="1">
      <alignment horizontal="left"/>
    </xf>
    <xf numFmtId="1" fontId="6" fillId="0" borderId="3" xfId="1" applyNumberFormat="1" applyFont="1" applyFill="1" applyBorder="1" applyAlignment="1">
      <alignment horizontal="center" vertical="center"/>
    </xf>
    <xf numFmtId="1" fontId="6" fillId="0" borderId="4" xfId="1" applyNumberFormat="1" applyFont="1" applyFill="1" applyBorder="1" applyAlignment="1">
      <alignment horizontal="center" vertical="center"/>
    </xf>
    <xf numFmtId="1" fontId="6" fillId="0" borderId="5" xfId="1" applyNumberFormat="1" applyFont="1" applyFill="1" applyBorder="1" applyAlignment="1">
      <alignment horizontal="center" vertical="center"/>
    </xf>
    <xf numFmtId="168" fontId="3" fillId="0" borderId="0" xfId="1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165" fontId="10" fillId="0" borderId="0" xfId="1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top"/>
    </xf>
  </cellXfs>
  <cellStyles count="18">
    <cellStyle name="Comma" xfId="1" builtinId="3"/>
    <cellStyle name="Comma 2" xfId="7"/>
    <cellStyle name="Comma 2 2" xfId="4"/>
    <cellStyle name="Comma 2 2 2" xfId="17"/>
    <cellStyle name="Comma 2 3" xfId="8"/>
    <cellStyle name="Comma 3" xfId="2"/>
    <cellStyle name="Comma 3 2" xfId="9"/>
    <cellStyle name="Comma 3 2 2" xfId="10"/>
    <cellStyle name="Comma 3 3" xfId="11"/>
    <cellStyle name="Comma 4" xfId="5"/>
    <cellStyle name="Normal" xfId="0" builtinId="0"/>
    <cellStyle name="Normal 2" xfId="3"/>
    <cellStyle name="Normal 2 2" xfId="14"/>
    <cellStyle name="Normal 2 3" xfId="15"/>
    <cellStyle name="Normal 3" xfId="6"/>
    <cellStyle name="Normal 3 2" xfId="12"/>
    <cellStyle name="Normal 3 3" xfId="13"/>
    <cellStyle name="Normal 4" xfId="1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76201</xdr:colOff>
      <xdr:row>0</xdr:row>
      <xdr:rowOff>0</xdr:rowOff>
    </xdr:from>
    <xdr:to>
      <xdr:col>16</xdr:col>
      <xdr:colOff>493769</xdr:colOff>
      <xdr:row>5</xdr:row>
      <xdr:rowOff>104775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1" y="0"/>
          <a:ext cx="1408168" cy="10953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URO%202023\EURO%20N&#258;M%202024\H&#7906;P%20&#272;&#7890;NG%20C&#193;%20NH&#194;N%202024\H&#7906;P%20&#272;&#7890;NG%20NGUY&#202;N%20T&#7854;C%20C&#193;%20NH&#194;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kh\B&#193;N%20H&#192;NG%202025\PHI&#7870;U%20XU&#7844;T%20KHO%20B&#193;N%20H&#192;NG%202025\PXK%20TH&#193;NG%2010.2025\.%20D&#361;ng%20B&#236;n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DN"/>
      <sheetName val="DMNV-2019"/>
      <sheetName val="HDLD"/>
      <sheetName val="BBBG"/>
    </sheetNames>
    <sheetDataSet>
      <sheetData sheetId="0">
        <row r="7">
          <cell r="B7" t="str">
            <v>Số 374 Đường Nguyễn Thiện Thuật, Phường Nhân Hoà, Thị Xã Mỹ Hào, Tỉnh Hưng Yên, Việt Nam</v>
          </cell>
        </row>
      </sheetData>
      <sheetData sheetId="1">
        <row r="5">
          <cell r="A5" t="str">
            <v>01</v>
          </cell>
          <cell r="B5" t="str">
            <v>Bùi Đình Viết</v>
          </cell>
          <cell r="C5" t="str">
            <v>Ông</v>
          </cell>
          <cell r="D5" t="str">
            <v>Từ ngày 01/12/2024 đến ngày 31/12/2025</v>
          </cell>
          <cell r="E5" t="str">
            <v>09/08/1981</v>
          </cell>
          <cell r="F5">
            <v>456</v>
          </cell>
          <cell r="G5" t="str">
            <v>Kỹ Sơn Trên, Tân Dân, Thành Phố Chí Linh, Tỉnh Hải Dương</v>
          </cell>
          <cell r="H5" t="str">
            <v>030081005701</v>
          </cell>
          <cell r="I5" t="str">
            <v>11/08/2021</v>
          </cell>
          <cell r="J5" t="str">
            <v>Cục Cảnh sát QLHCVTTXH</v>
          </cell>
          <cell r="K5" t="str">
            <v>00000187</v>
          </cell>
          <cell r="L5" t="str">
            <v>01/12/2024</v>
          </cell>
          <cell r="M5" t="str">
            <v>Ngày 01 tháng 12 năm 2024</v>
          </cell>
          <cell r="N5" t="str">
            <v>01/HĐNT2024</v>
          </cell>
        </row>
        <row r="6">
          <cell r="A6" t="str">
            <v>02</v>
          </cell>
          <cell r="B6" t="str">
            <v>Nguyễn Đức Thành</v>
          </cell>
          <cell r="C6" t="str">
            <v>Ông</v>
          </cell>
          <cell r="D6" t="str">
            <v>Từ ngày 01/12/2024 đến ngày 31/12/2025</v>
          </cell>
          <cell r="E6" t="str">
            <v>21/09/1975</v>
          </cell>
          <cell r="G6" t="str">
            <v>Đông kết, Khoái Châu, Hưng Yên</v>
          </cell>
          <cell r="H6" t="str">
            <v>033075006532</v>
          </cell>
          <cell r="I6" t="str">
            <v>25/04/2021</v>
          </cell>
          <cell r="J6" t="str">
            <v>Cục Cảnh sát QLHCVTTXH</v>
          </cell>
          <cell r="L6" t="str">
            <v>01/12/2024</v>
          </cell>
          <cell r="M6" t="str">
            <v>Ngày 01 tháng 12 năm 2024</v>
          </cell>
          <cell r="N6" t="str">
            <v>02/HĐNT2024</v>
          </cell>
        </row>
        <row r="7">
          <cell r="A7" t="str">
            <v>03</v>
          </cell>
          <cell r="B7" t="str">
            <v>Vi Quang Huân</v>
          </cell>
          <cell r="C7" t="str">
            <v>Ông</v>
          </cell>
          <cell r="D7" t="str">
            <v>Từ ngày 01/12/2024 đến ngày 31/12/2025</v>
          </cell>
          <cell r="E7" t="str">
            <v>04/11/1989</v>
          </cell>
          <cell r="G7" t="str">
            <v>Khu Tân Tiến, Minh Tân, Cẩm Khê, Phú Thọ</v>
          </cell>
          <cell r="H7" t="str">
            <v>025089003839</v>
          </cell>
          <cell r="I7" t="str">
            <v>25/04/2021</v>
          </cell>
          <cell r="J7" t="str">
            <v>Cục Cảnh sát QLHCVTTXH</v>
          </cell>
          <cell r="L7" t="str">
            <v>01/12/2024</v>
          </cell>
          <cell r="M7" t="str">
            <v>Ngày 01 tháng 12 năm 2024</v>
          </cell>
          <cell r="N7" t="str">
            <v>03/HĐNT2024</v>
          </cell>
        </row>
        <row r="8">
          <cell r="A8" t="str">
            <v>04</v>
          </cell>
          <cell r="B8" t="str">
            <v>Hoàng Văn Cường</v>
          </cell>
          <cell r="C8" t="str">
            <v>Ông</v>
          </cell>
          <cell r="D8" t="str">
            <v>Từ ngày 01/12/2024 đến ngày 31/12/2025</v>
          </cell>
          <cell r="E8" t="str">
            <v>13/11/1981</v>
          </cell>
          <cell r="G8" t="str">
            <v>Thanh Văn 1, Tân Hoa, Lục Ngạn, Bắc Giang</v>
          </cell>
          <cell r="H8" t="str">
            <v>024081021181</v>
          </cell>
          <cell r="I8" t="str">
            <v>17/12/2021</v>
          </cell>
          <cell r="J8" t="str">
            <v>Cục Cảnh sát QLHCVTTXH</v>
          </cell>
          <cell r="L8" t="str">
            <v>01/12/2024</v>
          </cell>
          <cell r="M8" t="str">
            <v>Ngày 01 tháng 12 năm 2024</v>
          </cell>
          <cell r="N8" t="str">
            <v>04/HĐNT2024</v>
          </cell>
        </row>
        <row r="9">
          <cell r="A9" t="str">
            <v>05</v>
          </cell>
          <cell r="B9" t="str">
            <v>Lê Thị Huyền</v>
          </cell>
          <cell r="C9" t="str">
            <v>Bà</v>
          </cell>
          <cell r="D9" t="str">
            <v>Từ ngày 01/12/2024 đến ngày 31/12/2025</v>
          </cell>
          <cell r="E9" t="str">
            <v>19/07/1984</v>
          </cell>
          <cell r="G9" t="str">
            <v>Phố Phúc Sơn, Bút Sơn, Hoằng Hoá , Thanh Hoá</v>
          </cell>
          <cell r="H9" t="str">
            <v>038184014442</v>
          </cell>
          <cell r="I9" t="str">
            <v>19/08/2024</v>
          </cell>
          <cell r="J9" t="str">
            <v>Bộ Công An</v>
          </cell>
          <cell r="L9" t="str">
            <v>01/12/2024</v>
          </cell>
          <cell r="M9" t="str">
            <v>Ngày 01 tháng 12 năm 2024</v>
          </cell>
          <cell r="N9" t="str">
            <v>05/HĐNT2024</v>
          </cell>
        </row>
        <row r="10">
          <cell r="A10" t="str">
            <v>06</v>
          </cell>
          <cell r="B10" t="str">
            <v>Kiều Xuân Ba</v>
          </cell>
          <cell r="C10" t="str">
            <v>Ông</v>
          </cell>
          <cell r="D10" t="str">
            <v>Từ ngày 01/12/2024 đến ngày 31/12/2025</v>
          </cell>
          <cell r="G10" t="str">
            <v>Văn Miếu, Đường Lâm, Sơn Tây, Thành Phố Hà Nội</v>
          </cell>
          <cell r="L10" t="str">
            <v>01/12/2024</v>
          </cell>
          <cell r="M10" t="str">
            <v>Ngày 01 tháng 12 năm 2024</v>
          </cell>
          <cell r="N10" t="str">
            <v>06/HĐNT2024</v>
          </cell>
        </row>
        <row r="11">
          <cell r="A11" t="str">
            <v>07</v>
          </cell>
          <cell r="B11" t="str">
            <v>Nguyễn Khắc Thạch</v>
          </cell>
          <cell r="C11" t="str">
            <v>Ông</v>
          </cell>
          <cell r="D11" t="str">
            <v>Từ ngày 01/12/2024 đến ngày 31/12/2025</v>
          </cell>
          <cell r="G11" t="str">
            <v>Cụm 11, Võng Xuyên, Phúc Thọ, Thành Phố Hà Nội</v>
          </cell>
          <cell r="L11" t="str">
            <v>01/12/2024</v>
          </cell>
          <cell r="M11" t="str">
            <v>Ngày 01 tháng 12 năm 2024</v>
          </cell>
          <cell r="N11" t="str">
            <v>07/HĐNT2024</v>
          </cell>
        </row>
        <row r="12">
          <cell r="A12" t="str">
            <v>08</v>
          </cell>
          <cell r="B12" t="str">
            <v>Vũ Văn Dũng</v>
          </cell>
          <cell r="C12" t="str">
            <v>Ông</v>
          </cell>
          <cell r="D12" t="str">
            <v>Từ ngày 01/12/2024 đến ngày 31/12/2025</v>
          </cell>
          <cell r="E12" t="str">
            <v>06/11/1986</v>
          </cell>
          <cell r="G12" t="str">
            <v>TDP Tháp, Dị Sử, Mỹ Hào, Hưng Yên</v>
          </cell>
          <cell r="H12" t="str">
            <v>033086007537</v>
          </cell>
          <cell r="I12" t="str">
            <v>13/04/2021</v>
          </cell>
          <cell r="J12" t="str">
            <v>Cục Cảnh sát QLHCVTTXH</v>
          </cell>
          <cell r="L12" t="str">
            <v>01/12/2024</v>
          </cell>
          <cell r="M12" t="str">
            <v>Ngày 01 tháng 12 năm 2024</v>
          </cell>
          <cell r="N12" t="str">
            <v>08/HĐNT2024</v>
          </cell>
        </row>
        <row r="13">
          <cell r="A13" t="str">
            <v>09</v>
          </cell>
          <cell r="B13" t="str">
            <v>Nguyễn Thị Yến</v>
          </cell>
          <cell r="C13" t="str">
            <v>Bà</v>
          </cell>
          <cell r="D13" t="str">
            <v>Từ ngày 15/12/2024 đến ngày 31/12/2025</v>
          </cell>
          <cell r="E13" t="str">
            <v>10/03/1992</v>
          </cell>
          <cell r="G13" t="str">
            <v>Thôn Tân Lạc, Đông Hoàng, Tiền Hải, Thái Bình</v>
          </cell>
          <cell r="H13" t="str">
            <v>034192004221</v>
          </cell>
          <cell r="I13" t="str">
            <v>06/11/2022</v>
          </cell>
          <cell r="J13" t="str">
            <v>Cục Cảnh sát QLHCVTTXH</v>
          </cell>
          <cell r="L13" t="str">
            <v>15/12/2024</v>
          </cell>
          <cell r="M13" t="str">
            <v>Ngày 15 tháng 12 năm 2024</v>
          </cell>
          <cell r="N13" t="str">
            <v>09/HĐNT2024</v>
          </cell>
        </row>
        <row r="14">
          <cell r="A14" t="str">
            <v>10</v>
          </cell>
          <cell r="B14" t="str">
            <v>Nguyễn Thị Tuý</v>
          </cell>
          <cell r="C14" t="str">
            <v>Bà</v>
          </cell>
          <cell r="D14" t="str">
            <v>Từ ngày 15/12/2024 đến ngày 31/12/2025</v>
          </cell>
          <cell r="E14" t="str">
            <v>29/10/1986</v>
          </cell>
          <cell r="G14" t="str">
            <v>Đội 3.Thôn Đông Bắc, Cổ Dũng, Kim Thành, Hải Dương</v>
          </cell>
          <cell r="H14" t="str">
            <v>030186020703</v>
          </cell>
          <cell r="J14" t="str">
            <v>Cục Cảnh sát QLHCVTTXH</v>
          </cell>
          <cell r="L14" t="str">
            <v>15/12/2024</v>
          </cell>
          <cell r="M14" t="str">
            <v>Ngày 15 tháng 12 năm 2024</v>
          </cell>
          <cell r="N14" t="str">
            <v>10/HĐNT2024</v>
          </cell>
        </row>
        <row r="15">
          <cell r="A15" t="str">
            <v>11</v>
          </cell>
          <cell r="B15" t="str">
            <v>Nguyễn Thị Thu</v>
          </cell>
          <cell r="C15" t="str">
            <v>Bà</v>
          </cell>
          <cell r="D15" t="str">
            <v>Từ ngày 15/12/2024 đến ngày 31/12/2025</v>
          </cell>
          <cell r="E15" t="str">
            <v>02/04/1988</v>
          </cell>
          <cell r="G15" t="str">
            <v>Tháp Dương, Trung Kênh, Lương Tài, Bắc Ninh</v>
          </cell>
          <cell r="H15" t="str">
            <v>027188011068</v>
          </cell>
          <cell r="I15" t="str">
            <v>09/05/2021</v>
          </cell>
          <cell r="J15" t="str">
            <v>Cục Cảnh sát QLHCVTTXH</v>
          </cell>
          <cell r="L15" t="str">
            <v>15/12/2024</v>
          </cell>
          <cell r="M15" t="str">
            <v>Ngày 15 tháng 12 năm 2024</v>
          </cell>
          <cell r="N15" t="str">
            <v>11/HĐNT2024</v>
          </cell>
        </row>
        <row r="16">
          <cell r="A16" t="str">
            <v>12</v>
          </cell>
          <cell r="L16" t="str">
            <v>01/12/2024</v>
          </cell>
          <cell r="M16" t="str">
            <v>Ngày 01 tháng 12 năm 2024</v>
          </cell>
          <cell r="N16" t="str">
            <v>12/HĐNT2024</v>
          </cell>
        </row>
        <row r="17">
          <cell r="A17" t="str">
            <v>13</v>
          </cell>
          <cell r="L17" t="str">
            <v>01/12/2024</v>
          </cell>
          <cell r="M17" t="str">
            <v>Ngày 01 tháng 12 năm 2024</v>
          </cell>
          <cell r="N17" t="str">
            <v>13/HĐNT2024</v>
          </cell>
        </row>
        <row r="18">
          <cell r="A18" t="str">
            <v>14</v>
          </cell>
          <cell r="L18" t="str">
            <v>01/12/2024</v>
          </cell>
          <cell r="M18" t="str">
            <v>Ngày 01 tháng 12 năm 2024</v>
          </cell>
          <cell r="N18" t="str">
            <v>14/HĐNT2024</v>
          </cell>
        </row>
        <row r="19">
          <cell r="A19" t="str">
            <v>15</v>
          </cell>
          <cell r="L19" t="str">
            <v>01/12/2024</v>
          </cell>
          <cell r="M19" t="str">
            <v>Ngày 01 tháng 12 năm 2024</v>
          </cell>
          <cell r="N19" t="str">
            <v>15/HĐNT2024</v>
          </cell>
        </row>
        <row r="20">
          <cell r="A20" t="str">
            <v>16</v>
          </cell>
          <cell r="L20" t="str">
            <v>01/12/2024</v>
          </cell>
          <cell r="M20" t="str">
            <v>Ngày 01 tháng 12 năm 2024</v>
          </cell>
          <cell r="N20" t="str">
            <v>16/HĐNT2024</v>
          </cell>
        </row>
        <row r="21">
          <cell r="A21" t="str">
            <v>17</v>
          </cell>
          <cell r="L21" t="str">
            <v>01/12/2024</v>
          </cell>
          <cell r="M21" t="str">
            <v>Ngày 01 tháng 12 năm 2024</v>
          </cell>
          <cell r="N21" t="str">
            <v>17/HĐNT2024</v>
          </cell>
        </row>
        <row r="22">
          <cell r="L22" t="str">
            <v>01/12/2024</v>
          </cell>
          <cell r="M22" t="str">
            <v>Ngày 01 tháng 12 năm 2024</v>
          </cell>
          <cell r="N22" t="str">
            <v>/HĐNT2024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h"/>
      <sheetName val="PX (2)"/>
      <sheetName val="Đối chiếu công nợ"/>
      <sheetName val="dskh"/>
      <sheetName val="Biên bản"/>
    </sheetNames>
    <sheetDataSet>
      <sheetData sheetId="0" refreshError="1">
        <row r="46">
          <cell r="M46">
            <v>0</v>
          </cell>
          <cell r="N46">
            <v>0</v>
          </cell>
          <cell r="O46">
            <v>0</v>
          </cell>
        </row>
        <row r="47">
          <cell r="M47">
            <v>0</v>
          </cell>
          <cell r="N47">
            <v>0</v>
          </cell>
          <cell r="O47">
            <v>0</v>
          </cell>
          <cell r="P47">
            <v>111400</v>
          </cell>
        </row>
        <row r="48">
          <cell r="M48">
            <v>0</v>
          </cell>
          <cell r="N48">
            <v>0</v>
          </cell>
          <cell r="O48">
            <v>0</v>
          </cell>
          <cell r="P48">
            <v>111400</v>
          </cell>
        </row>
        <row r="49">
          <cell r="M49">
            <v>0</v>
          </cell>
          <cell r="N49">
            <v>0</v>
          </cell>
          <cell r="O49">
            <v>0</v>
          </cell>
          <cell r="P49">
            <v>3000</v>
          </cell>
        </row>
        <row r="50">
          <cell r="M50" t="str">
            <v>CAFÉ PRECO</v>
          </cell>
          <cell r="N50" t="str">
            <v>Kg</v>
          </cell>
          <cell r="O50" t="str">
            <v>4A</v>
          </cell>
          <cell r="P50">
            <v>99900</v>
          </cell>
        </row>
        <row r="51">
          <cell r="M51" t="str">
            <v xml:space="preserve">tấm café </v>
          </cell>
          <cell r="N51" t="str">
            <v>Kg</v>
          </cell>
          <cell r="O51" t="str">
            <v>6E</v>
          </cell>
          <cell r="P51">
            <v>142000</v>
          </cell>
        </row>
        <row r="52">
          <cell r="M52" t="str">
            <v>CAFÉ</v>
          </cell>
          <cell r="N52" t="str">
            <v>Kg</v>
          </cell>
          <cell r="O52" t="str">
            <v>1A</v>
          </cell>
          <cell r="P52">
            <v>114400</v>
          </cell>
        </row>
        <row r="53">
          <cell r="M53" t="str">
            <v>itarico café</v>
          </cell>
          <cell r="N53" t="str">
            <v>Kg</v>
          </cell>
          <cell r="O53" t="str">
            <v>8A</v>
          </cell>
          <cell r="P53">
            <v>6000</v>
          </cell>
        </row>
        <row r="54">
          <cell r="M54" t="str">
            <v>CAFÉ PRECO</v>
          </cell>
          <cell r="N54" t="str">
            <v>Kg</v>
          </cell>
          <cell r="O54" t="str">
            <v>4A</v>
          </cell>
          <cell r="P54">
            <v>102900</v>
          </cell>
        </row>
        <row r="55">
          <cell r="M55" t="str">
            <v xml:space="preserve">tấm café </v>
          </cell>
          <cell r="N55" t="str">
            <v>Kg</v>
          </cell>
          <cell r="O55" t="str">
            <v>6E</v>
          </cell>
          <cell r="P55">
            <v>145000</v>
          </cell>
        </row>
        <row r="56">
          <cell r="M56" t="str">
            <v>CAFÉ METALIC</v>
          </cell>
          <cell r="N56" t="str">
            <v>Kg</v>
          </cell>
          <cell r="O56" t="str">
            <v>2A</v>
          </cell>
          <cell r="P56">
            <v>115900</v>
          </cell>
        </row>
        <row r="57">
          <cell r="M57" t="str">
            <v>E70 café metalic</v>
          </cell>
          <cell r="N57" t="str">
            <v>Kg</v>
          </cell>
          <cell r="O57" t="str">
            <v>5A</v>
          </cell>
          <cell r="P57">
            <v>120900</v>
          </cell>
        </row>
        <row r="58">
          <cell r="M58" t="str">
            <v>thủy lực café metalic</v>
          </cell>
          <cell r="N58" t="str">
            <v>Kg</v>
          </cell>
          <cell r="O58" t="str">
            <v>2A1</v>
          </cell>
          <cell r="P58">
            <v>120900</v>
          </cell>
        </row>
        <row r="59">
          <cell r="M59" t="str">
            <v>trượt ecento café metalic</v>
          </cell>
          <cell r="N59" t="str">
            <v>Kg</v>
          </cell>
          <cell r="O59" t="str">
            <v>2A3</v>
          </cell>
          <cell r="P59">
            <v>120900</v>
          </cell>
        </row>
        <row r="60">
          <cell r="M60" t="str">
            <v>trượt quay café metalic</v>
          </cell>
          <cell r="N60" t="str">
            <v>Kg</v>
          </cell>
          <cell r="O60" t="str">
            <v>2A2</v>
          </cell>
          <cell r="P60">
            <v>116400</v>
          </cell>
        </row>
        <row r="61">
          <cell r="M61" t="str">
            <v>chấn song café metalic</v>
          </cell>
          <cell r="N61" t="str">
            <v>Kg</v>
          </cell>
          <cell r="O61" t="str">
            <v>5A1</v>
          </cell>
          <cell r="P61">
            <v>116400</v>
          </cell>
        </row>
        <row r="62">
          <cell r="M62" t="str">
            <v>eplus café metalic</v>
          </cell>
          <cell r="N62" t="str">
            <v>Kg</v>
          </cell>
          <cell r="O62" t="str">
            <v>3A</v>
          </cell>
          <cell r="P62">
            <v>116400</v>
          </cell>
        </row>
        <row r="63">
          <cell r="M63" t="str">
            <v>tấm café metalic</v>
          </cell>
          <cell r="N63" t="str">
            <v>Kg</v>
          </cell>
          <cell r="O63" t="str">
            <v>6A</v>
          </cell>
          <cell r="P63">
            <v>146500</v>
          </cell>
        </row>
        <row r="64">
          <cell r="M64" t="str">
            <v>xám ngọc trai</v>
          </cell>
          <cell r="N64" t="str">
            <v>Kg</v>
          </cell>
          <cell r="O64" t="str">
            <v>2C</v>
          </cell>
          <cell r="P64">
            <v>115900</v>
          </cell>
        </row>
        <row r="65">
          <cell r="M65" t="str">
            <v>e70 xám ngọc trai</v>
          </cell>
          <cell r="N65" t="str">
            <v>Kg</v>
          </cell>
          <cell r="O65" t="str">
            <v>5C</v>
          </cell>
          <cell r="P65">
            <v>121900</v>
          </cell>
        </row>
        <row r="66">
          <cell r="M66" t="str">
            <v>thủy lực xám ngọc trai</v>
          </cell>
          <cell r="N66" t="str">
            <v>Kg</v>
          </cell>
          <cell r="O66" t="str">
            <v>2C1</v>
          </cell>
          <cell r="P66">
            <v>121900</v>
          </cell>
        </row>
        <row r="67">
          <cell r="M67" t="str">
            <v>trượt ecento xám ngọc trai</v>
          </cell>
          <cell r="N67" t="str">
            <v>Kg</v>
          </cell>
          <cell r="O67" t="str">
            <v>2A4</v>
          </cell>
          <cell r="P67">
            <v>121900</v>
          </cell>
        </row>
        <row r="68">
          <cell r="M68" t="str">
            <v>trượt quay xám ngọc trai</v>
          </cell>
          <cell r="N68" t="str">
            <v>Kg</v>
          </cell>
          <cell r="O68" t="str">
            <v>8C</v>
          </cell>
          <cell r="P68">
            <v>116400</v>
          </cell>
        </row>
        <row r="69">
          <cell r="M69" t="str">
            <v>eplus xám ngọc trai</v>
          </cell>
          <cell r="N69" t="str">
            <v>Kg</v>
          </cell>
          <cell r="O69" t="str">
            <v>3C</v>
          </cell>
          <cell r="P69">
            <v>116400</v>
          </cell>
        </row>
        <row r="70">
          <cell r="M70" t="str">
            <v>chấn song xám ngọc trai</v>
          </cell>
          <cell r="N70" t="str">
            <v>Kg</v>
          </cell>
          <cell r="O70" t="str">
            <v>5C1</v>
          </cell>
          <cell r="P70">
            <v>116400</v>
          </cell>
        </row>
        <row r="71">
          <cell r="M71" t="str">
            <v>tấm xám ngọc trai</v>
          </cell>
          <cell r="N71" t="str">
            <v>Kg</v>
          </cell>
          <cell r="O71" t="str">
            <v>6C</v>
          </cell>
          <cell r="P71">
            <v>146500</v>
          </cell>
        </row>
        <row r="72">
          <cell r="M72" t="str">
            <v>xám sần</v>
          </cell>
          <cell r="N72" t="str">
            <v>Kg</v>
          </cell>
          <cell r="O72" t="str">
            <v>9C</v>
          </cell>
          <cell r="P72">
            <v>6000</v>
          </cell>
        </row>
        <row r="73">
          <cell r="M73" t="str">
            <v>tấm vân gỗ olerk</v>
          </cell>
          <cell r="N73" t="str">
            <v>Kg</v>
          </cell>
          <cell r="O73" t="str">
            <v>6F</v>
          </cell>
          <cell r="P73">
            <v>153500</v>
          </cell>
        </row>
        <row r="74">
          <cell r="M74" t="str">
            <v>trắng sứ</v>
          </cell>
          <cell r="N74" t="str">
            <v>Kg</v>
          </cell>
          <cell r="O74" t="str">
            <v>1B</v>
          </cell>
          <cell r="P74">
            <v>115400</v>
          </cell>
        </row>
        <row r="75">
          <cell r="M75" t="str">
            <v>xám rita</v>
          </cell>
          <cell r="N75" t="str">
            <v>Kg</v>
          </cell>
          <cell r="O75" t="str">
            <v>4C</v>
          </cell>
          <cell r="P75">
            <v>103900</v>
          </cell>
        </row>
        <row r="76">
          <cell r="M76" t="str">
            <v>vân gỗ hương</v>
          </cell>
          <cell r="N76" t="str">
            <v>Kg</v>
          </cell>
          <cell r="O76" t="str">
            <v>4D</v>
          </cell>
          <cell r="P76">
            <v>115900</v>
          </cell>
        </row>
        <row r="77">
          <cell r="M77" t="str">
            <v>nội thất</v>
          </cell>
          <cell r="N77" t="str">
            <v>Kg</v>
          </cell>
          <cell r="O77" t="str">
            <v>4D1</v>
          </cell>
          <cell r="P77">
            <v>115900</v>
          </cell>
        </row>
        <row r="78">
          <cell r="M78" t="str">
            <v>thủy lực vân gỗ olerk</v>
          </cell>
          <cell r="N78" t="str">
            <v>Kg</v>
          </cell>
          <cell r="O78" t="str">
            <v>7D</v>
          </cell>
          <cell r="P78">
            <v>134400</v>
          </cell>
        </row>
        <row r="79">
          <cell r="M79" t="str">
            <v>eplus vân gỗ olerk</v>
          </cell>
          <cell r="N79" t="str">
            <v>Kg</v>
          </cell>
          <cell r="O79" t="str">
            <v>9D</v>
          </cell>
          <cell r="P79">
            <v>134400</v>
          </cell>
        </row>
        <row r="80">
          <cell r="M80" t="str">
            <v>Thanh nhôm định hình chưa sơn</v>
          </cell>
          <cell r="N80" t="str">
            <v>Kg</v>
          </cell>
          <cell r="O80" t="str">
            <v>TP nhôm chưa sơn</v>
          </cell>
          <cell r="P80">
            <v>100000</v>
          </cell>
        </row>
        <row r="81">
          <cell r="M81" t="str">
            <v>vân gỗ cẩm lai</v>
          </cell>
          <cell r="N81" t="str">
            <v>Kg</v>
          </cell>
          <cell r="O81" t="str">
            <v>2D</v>
          </cell>
          <cell r="P81">
            <v>140400</v>
          </cell>
        </row>
        <row r="82">
          <cell r="M82" t="str">
            <v>e70 vân gỗ cẩm lai</v>
          </cell>
          <cell r="N82" t="str">
            <v>Kg</v>
          </cell>
          <cell r="O82" t="str">
            <v>5D</v>
          </cell>
          <cell r="P82">
            <v>140400</v>
          </cell>
        </row>
        <row r="83">
          <cell r="M83" t="str">
            <v>trượt quay vân gỗ cẩm lai</v>
          </cell>
          <cell r="N83" t="str">
            <v>Kg</v>
          </cell>
          <cell r="O83" t="str">
            <v>2D1</v>
          </cell>
          <cell r="P83">
            <v>140400</v>
          </cell>
        </row>
        <row r="84">
          <cell r="M84" t="str">
            <v>eplus vân gỗ cẩm lai</v>
          </cell>
          <cell r="N84" t="str">
            <v>Kg</v>
          </cell>
          <cell r="O84" t="str">
            <v>3D</v>
          </cell>
          <cell r="P84">
            <v>140400</v>
          </cell>
        </row>
        <row r="85">
          <cell r="M85" t="str">
            <v>chấn song vân gỗ cẩm lai</v>
          </cell>
          <cell r="N85" t="str">
            <v>Kg</v>
          </cell>
          <cell r="O85" t="str">
            <v>5D1</v>
          </cell>
          <cell r="P85">
            <v>140400</v>
          </cell>
        </row>
        <row r="86">
          <cell r="M86" t="str">
            <v>tấm vân gỗ cẩm lai</v>
          </cell>
          <cell r="N86" t="str">
            <v>Kg</v>
          </cell>
          <cell r="O86" t="str">
            <v>6D</v>
          </cell>
          <cell r="P86">
            <v>159500</v>
          </cell>
        </row>
        <row r="87">
          <cell r="M87" t="str">
            <v>thủy lực vân gỗ cẩm lai</v>
          </cell>
          <cell r="N87" t="str">
            <v>Kg</v>
          </cell>
          <cell r="O87" t="str">
            <v>2D2</v>
          </cell>
          <cell r="P87">
            <v>140400</v>
          </cell>
        </row>
        <row r="88">
          <cell r="M88" t="str">
            <v>Bản lề Xingfa cánh cánh</v>
          </cell>
          <cell r="N88" t="str">
            <v>Cái</v>
          </cell>
          <cell r="O88" t="str">
            <v>banlecanh</v>
          </cell>
          <cell r="P88">
            <v>0</v>
          </cell>
        </row>
        <row r="89">
          <cell r="M89" t="str">
            <v xml:space="preserve">Bản lề cối </v>
          </cell>
          <cell r="N89" t="str">
            <v>Cái</v>
          </cell>
          <cell r="O89" t="str">
            <v>banlecoi</v>
          </cell>
          <cell r="P89">
            <v>0</v>
          </cell>
        </row>
        <row r="90">
          <cell r="M90" t="str">
            <v>Bản lề Xingfa khung cánh</v>
          </cell>
          <cell r="N90" t="str">
            <v>Cái</v>
          </cell>
          <cell r="O90" t="str">
            <v>banlekhung</v>
          </cell>
          <cell r="P90">
            <v>0</v>
          </cell>
        </row>
        <row r="91">
          <cell r="M91" t="str">
            <v>Chốt khóa cửa</v>
          </cell>
          <cell r="N91" t="str">
            <v>Cái</v>
          </cell>
          <cell r="O91" t="str">
            <v>chotcua</v>
          </cell>
          <cell r="P91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DP273"/>
  <sheetViews>
    <sheetView tabSelected="1" zoomScaleNormal="100" zoomScaleSheetLayoutView="80" workbookViewId="0">
      <selection activeCell="D43" sqref="D43"/>
    </sheetView>
  </sheetViews>
  <sheetFormatPr defaultRowHeight="15" x14ac:dyDescent="0.25"/>
  <cols>
    <col min="1" max="1" width="5" customWidth="1"/>
    <col min="2" max="2" width="12.85546875" style="66" customWidth="1"/>
    <col min="3" max="3" width="26.85546875" customWidth="1"/>
    <col min="4" max="4" width="8.140625" style="117" customWidth="1"/>
    <col min="5" max="5" width="6.28515625" style="118" customWidth="1"/>
    <col min="6" max="6" width="8.140625" style="119" customWidth="1"/>
    <col min="7" max="7" width="7.7109375" style="119" customWidth="1"/>
    <col min="8" max="11" width="6.85546875" style="119" customWidth="1"/>
    <col min="12" max="12" width="6.42578125" style="119" customWidth="1"/>
    <col min="13" max="13" width="6.42578125" customWidth="1"/>
    <col min="14" max="14" width="8" customWidth="1"/>
    <col min="15" max="15" width="8.42578125" customWidth="1"/>
    <col min="16" max="16" width="6.42578125" style="91" customWidth="1"/>
    <col min="17" max="17" width="10.5703125" customWidth="1"/>
    <col min="18" max="18" width="16.85546875" style="73" bestFit="1" customWidth="1"/>
    <col min="22" max="22" width="10.5703125" bestFit="1" customWidth="1"/>
  </cols>
  <sheetData>
    <row r="1" spans="1:19" s="6" customFormat="1" ht="15.75" x14ac:dyDescent="0.2">
      <c r="A1" s="1" t="s">
        <v>0</v>
      </c>
      <c r="B1" s="60"/>
      <c r="C1" s="3"/>
      <c r="D1" s="4"/>
      <c r="E1" s="26"/>
      <c r="F1" s="2"/>
      <c r="G1" s="2"/>
      <c r="H1" s="2"/>
      <c r="I1" s="2"/>
      <c r="J1" s="2"/>
      <c r="K1" s="2"/>
      <c r="L1" s="2"/>
      <c r="M1" s="88"/>
      <c r="N1" s="88"/>
      <c r="O1" s="5"/>
      <c r="P1" s="88"/>
      <c r="R1" s="89">
        <v>287</v>
      </c>
    </row>
    <row r="2" spans="1:19" s="6" customFormat="1" ht="15.75" x14ac:dyDescent="0.2">
      <c r="A2" s="57" t="s">
        <v>381</v>
      </c>
      <c r="B2" s="61"/>
      <c r="C2" s="57"/>
      <c r="D2" s="57"/>
      <c r="E2" s="57"/>
      <c r="F2" s="55"/>
      <c r="G2" s="55"/>
      <c r="H2" s="55"/>
      <c r="I2" s="55"/>
      <c r="J2" s="55"/>
      <c r="K2" s="55"/>
      <c r="L2" s="55"/>
      <c r="M2" s="5"/>
      <c r="N2" s="5"/>
      <c r="O2" s="5"/>
      <c r="P2" s="7"/>
      <c r="R2" s="89"/>
    </row>
    <row r="3" spans="1:19" s="6" customFormat="1" ht="15.75" customHeight="1" x14ac:dyDescent="0.2">
      <c r="A3" s="134" t="s">
        <v>1</v>
      </c>
      <c r="B3" s="134"/>
      <c r="C3" s="134"/>
      <c r="D3" s="134"/>
      <c r="E3" s="134"/>
      <c r="F3" s="120"/>
      <c r="G3" s="120"/>
      <c r="H3" s="120"/>
      <c r="I3" s="120"/>
      <c r="J3" s="120"/>
      <c r="K3" s="120"/>
      <c r="L3" s="120"/>
      <c r="M3" s="5"/>
      <c r="N3" s="5"/>
      <c r="O3" s="5"/>
      <c r="P3" s="7"/>
      <c r="R3" s="90"/>
    </row>
    <row r="4" spans="1:19" s="6" customFormat="1" ht="15.75" customHeight="1" x14ac:dyDescent="0.2">
      <c r="A4" s="134" t="s">
        <v>2</v>
      </c>
      <c r="B4" s="134"/>
      <c r="C4" s="134"/>
      <c r="D4" s="134"/>
      <c r="E4" s="134"/>
      <c r="F4" s="120"/>
      <c r="G4" s="120"/>
      <c r="H4" s="120"/>
      <c r="I4" s="120"/>
      <c r="J4" s="120"/>
      <c r="K4" s="120"/>
      <c r="L4" s="120"/>
      <c r="M4" s="5"/>
      <c r="N4" s="5"/>
      <c r="O4" s="5"/>
      <c r="P4" s="7"/>
      <c r="R4" s="90"/>
    </row>
    <row r="5" spans="1:19" x14ac:dyDescent="0.25">
      <c r="A5" s="8"/>
      <c r="B5" s="62"/>
      <c r="C5" s="9"/>
      <c r="D5" s="17"/>
      <c r="E5" s="27"/>
      <c r="F5" s="16"/>
      <c r="G5" s="16"/>
      <c r="H5" s="16"/>
      <c r="I5" s="16"/>
      <c r="J5" s="16"/>
      <c r="K5" s="16"/>
      <c r="L5" s="16"/>
      <c r="M5" s="5"/>
      <c r="N5" s="5"/>
      <c r="O5" s="5"/>
    </row>
    <row r="6" spans="1:19" ht="15.75" x14ac:dyDescent="0.25">
      <c r="A6" s="8"/>
      <c r="B6" s="62"/>
      <c r="C6" s="9"/>
      <c r="D6" s="17"/>
      <c r="E6" s="27"/>
      <c r="F6" s="16"/>
      <c r="G6" s="16"/>
      <c r="H6" s="16"/>
      <c r="I6" s="16"/>
      <c r="J6" s="16"/>
      <c r="K6" s="16"/>
      <c r="L6" s="16"/>
      <c r="M6" s="92"/>
      <c r="N6" s="92"/>
      <c r="O6" s="5"/>
    </row>
    <row r="7" spans="1:19" ht="20.25" x14ac:dyDescent="0.3">
      <c r="A7" s="158" t="s">
        <v>385</v>
      </c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158"/>
      <c r="M7" s="158"/>
      <c r="N7" s="158"/>
      <c r="O7" s="158"/>
      <c r="P7" s="158"/>
      <c r="Q7" s="158"/>
    </row>
    <row r="8" spans="1:19" ht="18.75" customHeight="1" x14ac:dyDescent="0.25">
      <c r="A8" s="135" t="s">
        <v>415</v>
      </c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5"/>
    </row>
    <row r="9" spans="1:19" ht="20.25" x14ac:dyDescent="0.3">
      <c r="A9" s="128"/>
      <c r="B9" s="63"/>
      <c r="C9" s="128"/>
      <c r="D9" s="121"/>
      <c r="E9" s="28"/>
      <c r="F9" s="121"/>
      <c r="G9" s="121"/>
      <c r="H9" s="121"/>
      <c r="I9" s="121"/>
      <c r="J9" s="121"/>
      <c r="K9" s="121"/>
      <c r="L9" s="121"/>
      <c r="M9" s="128"/>
      <c r="N9" s="128"/>
      <c r="O9" s="128"/>
      <c r="P9" s="128"/>
    </row>
    <row r="10" spans="1:19" ht="15.75" x14ac:dyDescent="0.25">
      <c r="A10" s="93" t="s">
        <v>268</v>
      </c>
      <c r="B10" s="45"/>
      <c r="C10" s="67" t="s">
        <v>355</v>
      </c>
      <c r="D10" s="12"/>
      <c r="E10" s="29"/>
      <c r="F10" s="18"/>
      <c r="G10" s="18"/>
      <c r="H10" s="18"/>
      <c r="I10" s="18"/>
      <c r="J10" s="18"/>
      <c r="K10" s="18"/>
      <c r="L10" s="159" t="s">
        <v>348</v>
      </c>
      <c r="M10" s="160"/>
      <c r="N10" s="161"/>
      <c r="O10" s="162" t="str">
        <f>"PXK2026/"&amp;R1</f>
        <v>PXK2026/287</v>
      </c>
      <c r="P10" s="163"/>
      <c r="Q10" s="164"/>
    </row>
    <row r="11" spans="1:19" ht="26.25" customHeight="1" x14ac:dyDescent="0.25">
      <c r="A11" s="94" t="s">
        <v>3</v>
      </c>
      <c r="B11" s="94"/>
      <c r="C11" s="136" t="s">
        <v>371</v>
      </c>
      <c r="D11" s="136"/>
      <c r="E11" s="136"/>
      <c r="F11" s="136"/>
      <c r="G11" s="136"/>
      <c r="H11" s="136"/>
      <c r="I11" s="136"/>
      <c r="J11" s="136"/>
      <c r="K11" s="136"/>
      <c r="L11" s="159" t="s">
        <v>349</v>
      </c>
      <c r="M11" s="160"/>
      <c r="N11" s="161"/>
      <c r="O11" s="159" t="str">
        <f>"00000"&amp;R2</f>
        <v>00000</v>
      </c>
      <c r="P11" s="160"/>
      <c r="Q11" s="161"/>
    </row>
    <row r="12" spans="1:19" ht="24" customHeight="1" x14ac:dyDescent="0.25">
      <c r="A12" s="13" t="s">
        <v>4</v>
      </c>
      <c r="B12" s="13"/>
      <c r="C12" s="136" t="s">
        <v>399</v>
      </c>
      <c r="D12" s="136"/>
      <c r="E12" s="136"/>
      <c r="F12" s="136"/>
      <c r="G12" s="136"/>
      <c r="H12" s="136"/>
      <c r="I12" s="136"/>
      <c r="J12" s="136"/>
      <c r="K12" s="136"/>
      <c r="L12" s="95" t="s">
        <v>350</v>
      </c>
      <c r="M12" s="96"/>
      <c r="N12" s="97"/>
      <c r="O12" s="165"/>
      <c r="P12" s="166"/>
      <c r="Q12" s="167"/>
    </row>
    <row r="13" spans="1:19" ht="21" customHeight="1" x14ac:dyDescent="0.25">
      <c r="A13" s="98" t="s">
        <v>5</v>
      </c>
      <c r="B13" s="98"/>
      <c r="C13" s="136" t="s">
        <v>267</v>
      </c>
      <c r="D13" s="136"/>
      <c r="E13" s="136"/>
      <c r="F13" s="136"/>
      <c r="G13" s="136"/>
      <c r="H13" s="136"/>
      <c r="I13" s="136"/>
      <c r="J13" s="136"/>
      <c r="K13" s="136"/>
      <c r="L13" s="168"/>
      <c r="M13" s="168"/>
      <c r="N13" s="68"/>
      <c r="O13" s="10"/>
      <c r="P13" s="15"/>
      <c r="Q13" s="99"/>
    </row>
    <row r="14" spans="1:19" ht="20.25" hidden="1" customHeight="1" x14ac:dyDescent="0.25">
      <c r="A14" s="98" t="s">
        <v>393</v>
      </c>
      <c r="B14" s="98"/>
      <c r="C14" s="122" t="e">
        <f>VLOOKUP(C10,#REF!,3,0)</f>
        <v>#REF!</v>
      </c>
      <c r="D14" s="71"/>
      <c r="E14" s="71"/>
      <c r="F14" s="71"/>
      <c r="G14" s="71"/>
      <c r="H14" s="71"/>
      <c r="I14" s="71"/>
      <c r="J14" s="71"/>
      <c r="K14" s="71"/>
      <c r="L14" s="123"/>
      <c r="M14" s="123"/>
      <c r="N14" s="68"/>
      <c r="O14" s="10"/>
      <c r="P14" s="15"/>
      <c r="Q14" s="99"/>
    </row>
    <row r="15" spans="1:19" ht="15.75" x14ac:dyDescent="0.25">
      <c r="A15" s="100"/>
      <c r="B15" s="100"/>
      <c r="C15" s="100"/>
      <c r="D15" s="14"/>
      <c r="E15" s="31"/>
      <c r="F15" s="15"/>
      <c r="G15" s="15"/>
      <c r="H15" s="15"/>
      <c r="I15" s="15"/>
      <c r="J15" s="15"/>
      <c r="K15" s="15"/>
      <c r="L15" s="15"/>
      <c r="M15" s="10"/>
      <c r="N15" s="10"/>
      <c r="O15" s="10"/>
      <c r="Q15" s="45"/>
    </row>
    <row r="16" spans="1:19" s="103" customFormat="1" ht="15.75" x14ac:dyDescent="0.25">
      <c r="A16" s="101" t="s">
        <v>6</v>
      </c>
      <c r="B16" s="146" t="s">
        <v>351</v>
      </c>
      <c r="C16" s="147"/>
      <c r="D16" s="102" t="s">
        <v>7</v>
      </c>
      <c r="E16" s="144" t="s">
        <v>19</v>
      </c>
      <c r="F16" s="145"/>
      <c r="G16" s="145"/>
      <c r="H16" s="145"/>
      <c r="I16" s="145"/>
      <c r="J16" s="145"/>
      <c r="K16" s="145"/>
      <c r="L16" s="124" t="s">
        <v>265</v>
      </c>
      <c r="M16" s="144" t="s">
        <v>17</v>
      </c>
      <c r="N16" s="148"/>
      <c r="O16" s="144" t="s">
        <v>18</v>
      </c>
      <c r="P16" s="148"/>
      <c r="R16" s="73"/>
      <c r="S16"/>
    </row>
    <row r="17" spans="1:23" s="99" customFormat="1" ht="19.5" customHeight="1" x14ac:dyDescent="0.25">
      <c r="A17" s="124">
        <v>1</v>
      </c>
      <c r="B17" s="149" t="s">
        <v>264</v>
      </c>
      <c r="C17" s="149"/>
      <c r="D17" s="124" t="str">
        <f>VLOOKUP(E17,[2]đh!$M$46:$P$91,3,0)</f>
        <v>2C</v>
      </c>
      <c r="E17" s="69" t="s">
        <v>407</v>
      </c>
      <c r="F17" s="70"/>
      <c r="G17" s="70"/>
      <c r="H17" s="70"/>
      <c r="I17" s="70"/>
      <c r="J17" s="70"/>
      <c r="K17" s="70"/>
      <c r="L17" s="104" t="s">
        <v>259</v>
      </c>
      <c r="M17" s="143"/>
      <c r="N17" s="143"/>
      <c r="O17" s="143"/>
      <c r="P17" s="143"/>
      <c r="R17" s="73"/>
      <c r="S17"/>
    </row>
    <row r="18" spans="1:23" s="99" customFormat="1" ht="19.5" customHeight="1" x14ac:dyDescent="0.25">
      <c r="A18" s="124">
        <v>2</v>
      </c>
      <c r="B18" s="149" t="s">
        <v>264</v>
      </c>
      <c r="C18" s="149"/>
      <c r="D18" s="124" t="str">
        <f>VLOOKUP(E18,[2]đh!$M$46:$P$91,3,0)</f>
        <v>3C</v>
      </c>
      <c r="E18" s="69" t="s">
        <v>412</v>
      </c>
      <c r="F18" s="70"/>
      <c r="G18" s="70"/>
      <c r="H18" s="70"/>
      <c r="I18" s="70"/>
      <c r="J18" s="70"/>
      <c r="K18" s="70"/>
      <c r="L18" s="104" t="s">
        <v>259</v>
      </c>
      <c r="M18" s="143"/>
      <c r="N18" s="143"/>
      <c r="O18" s="143"/>
      <c r="P18" s="143"/>
      <c r="R18" s="73"/>
      <c r="S18"/>
    </row>
    <row r="19" spans="1:23" s="99" customFormat="1" ht="19.5" customHeight="1" x14ac:dyDescent="0.25">
      <c r="A19" s="124">
        <v>3</v>
      </c>
      <c r="B19" s="149" t="s">
        <v>264</v>
      </c>
      <c r="C19" s="149"/>
      <c r="D19" s="124" t="str">
        <f>VLOOKUP(E19,[2]đh!$M$46:$P$91,3,0)</f>
        <v>1A</v>
      </c>
      <c r="E19" s="69" t="s">
        <v>379</v>
      </c>
      <c r="F19" s="70"/>
      <c r="G19" s="70"/>
      <c r="H19" s="70"/>
      <c r="I19" s="70"/>
      <c r="J19" s="70"/>
      <c r="K19" s="70"/>
      <c r="L19" s="104" t="s">
        <v>259</v>
      </c>
      <c r="M19" s="143"/>
      <c r="N19" s="143"/>
      <c r="O19" s="143"/>
      <c r="P19" s="143"/>
      <c r="R19" s="105"/>
    </row>
    <row r="20" spans="1:23" s="99" customFormat="1" ht="19.5" customHeight="1" x14ac:dyDescent="0.25">
      <c r="A20" s="124">
        <v>4</v>
      </c>
      <c r="B20" s="149" t="s">
        <v>264</v>
      </c>
      <c r="C20" s="149"/>
      <c r="D20" s="124" t="str">
        <f>VLOOKUP(E20,[2]đh!$M$46:$P$91,3,0)</f>
        <v>2A</v>
      </c>
      <c r="E20" s="69" t="s">
        <v>263</v>
      </c>
      <c r="F20" s="70"/>
      <c r="G20" s="70"/>
      <c r="H20" s="70"/>
      <c r="I20" s="70"/>
      <c r="J20" s="70"/>
      <c r="K20" s="70"/>
      <c r="L20" s="104" t="s">
        <v>259</v>
      </c>
      <c r="M20" s="143"/>
      <c r="N20" s="143"/>
      <c r="O20" s="143"/>
      <c r="P20" s="143"/>
      <c r="R20" s="105"/>
    </row>
    <row r="21" spans="1:23" s="99" customFormat="1" ht="19.5" customHeight="1" x14ac:dyDescent="0.25">
      <c r="A21" s="144" t="s">
        <v>167</v>
      </c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04"/>
      <c r="M21" s="143"/>
      <c r="N21" s="143"/>
      <c r="O21" s="143">
        <f>SUM(O17:P20)</f>
        <v>0</v>
      </c>
      <c r="P21" s="143"/>
      <c r="R21" s="105"/>
    </row>
    <row r="22" spans="1:23" ht="20.25" customHeight="1" x14ac:dyDescent="0.25">
      <c r="A22" s="100"/>
      <c r="B22" s="100"/>
      <c r="C22" s="100"/>
      <c r="D22" s="14"/>
      <c r="E22" s="31"/>
      <c r="F22" s="15"/>
      <c r="G22" s="15"/>
      <c r="H22" s="15"/>
      <c r="I22" s="15"/>
      <c r="J22" s="15"/>
      <c r="K22" s="15"/>
      <c r="L22" s="15"/>
      <c r="M22" s="10"/>
      <c r="N22" s="10"/>
      <c r="O22" s="10"/>
      <c r="Q22" s="45"/>
      <c r="R22" s="46"/>
    </row>
    <row r="23" spans="1:23" ht="24" customHeight="1" x14ac:dyDescent="0.25">
      <c r="A23" s="138" t="s">
        <v>6</v>
      </c>
      <c r="B23" s="156" t="s">
        <v>7</v>
      </c>
      <c r="C23" s="138" t="s">
        <v>19</v>
      </c>
      <c r="D23" s="139" t="s">
        <v>20</v>
      </c>
      <c r="E23" s="141" t="s">
        <v>21</v>
      </c>
      <c r="F23" s="153" t="s">
        <v>408</v>
      </c>
      <c r="G23" s="154"/>
      <c r="H23" s="154"/>
      <c r="I23" s="154"/>
      <c r="J23" s="154"/>
      <c r="K23" s="154"/>
      <c r="L23" s="154"/>
      <c r="M23" s="154"/>
      <c r="N23" s="154"/>
      <c r="O23" s="154"/>
      <c r="P23" s="155"/>
      <c r="Q23" s="137" t="s">
        <v>22</v>
      </c>
    </row>
    <row r="24" spans="1:23" ht="47.25" customHeight="1" x14ac:dyDescent="0.25">
      <c r="A24" s="138"/>
      <c r="B24" s="157"/>
      <c r="C24" s="138"/>
      <c r="D24" s="140"/>
      <c r="E24" s="142"/>
      <c r="F24" s="130" t="s">
        <v>413</v>
      </c>
      <c r="G24" s="130" t="s">
        <v>410</v>
      </c>
      <c r="H24" s="130" t="s">
        <v>414</v>
      </c>
      <c r="I24" s="130" t="s">
        <v>411</v>
      </c>
      <c r="J24" s="130"/>
      <c r="K24" s="130"/>
      <c r="L24" s="130"/>
      <c r="M24" s="130"/>
      <c r="N24" s="130"/>
      <c r="O24" s="74"/>
      <c r="P24" s="74"/>
      <c r="Q24" s="137"/>
      <c r="S24" s="130" t="s">
        <v>390</v>
      </c>
      <c r="T24" s="130" t="s">
        <v>386</v>
      </c>
      <c r="U24" s="130" t="s">
        <v>388</v>
      </c>
      <c r="V24" s="130" t="s">
        <v>387</v>
      </c>
      <c r="W24" s="130" t="s">
        <v>389</v>
      </c>
    </row>
    <row r="25" spans="1:23" ht="15.75" x14ac:dyDescent="0.25">
      <c r="A25" s="125"/>
      <c r="B25" s="64"/>
      <c r="C25" s="125"/>
      <c r="D25" s="126"/>
      <c r="E25" s="127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131"/>
      <c r="Q25" s="75"/>
      <c r="R25" s="73">
        <f>SUM(R26:R247)</f>
        <v>0</v>
      </c>
    </row>
    <row r="26" spans="1:23" ht="31.5" x14ac:dyDescent="0.25">
      <c r="A26" s="33">
        <f>_xlfn.AGGREGATE(3,5,$B$26:B26)</f>
        <v>1</v>
      </c>
      <c r="B26" s="51" t="s">
        <v>23</v>
      </c>
      <c r="C26" s="34" t="s">
        <v>24</v>
      </c>
      <c r="D26" s="35">
        <v>1.3680000000000001</v>
      </c>
      <c r="E26" s="36">
        <v>2</v>
      </c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8"/>
      <c r="Q26" s="75">
        <f t="shared" ref="Q26:Q60" si="0">SUM(F26:P26)*E26</f>
        <v>0</v>
      </c>
      <c r="R26" s="73">
        <f t="shared" ref="R26:R89" si="1">Q26*D26*6</f>
        <v>0</v>
      </c>
      <c r="S26" s="77">
        <f>+F26*E26*D26*6</f>
        <v>0</v>
      </c>
      <c r="T26" s="76">
        <f>+G26*E26*D26*6</f>
        <v>0</v>
      </c>
      <c r="U26" s="76">
        <f>+H26*E26*D26*6</f>
        <v>0</v>
      </c>
      <c r="V26" s="76" t="e">
        <f>+#REF!*E26*D26*6</f>
        <v>#REF!</v>
      </c>
      <c r="W26" s="76">
        <f>+L26*E26*D26*6</f>
        <v>0</v>
      </c>
    </row>
    <row r="27" spans="1:23" ht="15.75" x14ac:dyDescent="0.25">
      <c r="A27" s="33">
        <f>_xlfn.AGGREGATE(3,5,$B$26:B27)</f>
        <v>2</v>
      </c>
      <c r="B27" s="51" t="s">
        <v>25</v>
      </c>
      <c r="C27" s="34" t="s">
        <v>26</v>
      </c>
      <c r="D27" s="35">
        <v>1.369</v>
      </c>
      <c r="E27" s="36">
        <v>2</v>
      </c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8"/>
      <c r="Q27" s="75">
        <f t="shared" si="0"/>
        <v>0</v>
      </c>
      <c r="R27" s="73">
        <f t="shared" si="1"/>
        <v>0</v>
      </c>
      <c r="S27" s="76">
        <f>+F27*E27*D27*6</f>
        <v>0</v>
      </c>
      <c r="T27" s="77">
        <f>+G27*E27*D27*6</f>
        <v>0</v>
      </c>
      <c r="U27" s="76" t="e">
        <f>+#REF!*E27*D27*6</f>
        <v>#REF!</v>
      </c>
      <c r="V27" s="76">
        <f>+L27*D27*E27*6</f>
        <v>0</v>
      </c>
    </row>
    <row r="28" spans="1:23" ht="15.75" x14ac:dyDescent="0.25">
      <c r="A28" s="33">
        <f>_xlfn.AGGREGATE(3,5,$B$26:B28)</f>
        <v>3</v>
      </c>
      <c r="B28" s="51" t="s">
        <v>27</v>
      </c>
      <c r="C28" s="34" t="s">
        <v>28</v>
      </c>
      <c r="D28" s="35">
        <v>1.0609999999999999</v>
      </c>
      <c r="E28" s="36">
        <v>4</v>
      </c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8"/>
      <c r="Q28" s="75">
        <f t="shared" si="0"/>
        <v>0</v>
      </c>
      <c r="R28" s="73">
        <f t="shared" si="1"/>
        <v>0</v>
      </c>
    </row>
    <row r="29" spans="1:23" ht="15.75" x14ac:dyDescent="0.25">
      <c r="A29" s="33">
        <f>_xlfn.AGGREGATE(3,5,$B$26:B29)</f>
        <v>4</v>
      </c>
      <c r="B29" s="51" t="s">
        <v>29</v>
      </c>
      <c r="C29" s="34" t="s">
        <v>30</v>
      </c>
      <c r="D29" s="35">
        <v>0.80400000000000005</v>
      </c>
      <c r="E29" s="36">
        <v>4</v>
      </c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8"/>
      <c r="Q29" s="75">
        <f t="shared" si="0"/>
        <v>0</v>
      </c>
      <c r="R29" s="73">
        <f t="shared" si="1"/>
        <v>0</v>
      </c>
      <c r="S29" s="77">
        <f t="shared" ref="S29:S37" si="2">+F29*E29*D29*6</f>
        <v>0</v>
      </c>
      <c r="T29" s="76">
        <f t="shared" ref="T29:T40" si="3">+G29*E29*D29*6</f>
        <v>0</v>
      </c>
      <c r="U29" s="76">
        <f>+H29*E29*D29*6</f>
        <v>0</v>
      </c>
      <c r="V29" s="76" t="e">
        <f>+#REF!*E29*D29*6</f>
        <v>#REF!</v>
      </c>
      <c r="W29" s="76">
        <f>+L29*E29*D29*6</f>
        <v>0</v>
      </c>
    </row>
    <row r="30" spans="1:23" ht="15.75" x14ac:dyDescent="0.25">
      <c r="A30" s="33">
        <f>_xlfn.AGGREGATE(3,5,$B$26:B30)</f>
        <v>5</v>
      </c>
      <c r="B30" s="51" t="s">
        <v>10</v>
      </c>
      <c r="C30" s="34" t="s">
        <v>402</v>
      </c>
      <c r="D30" s="35">
        <v>1.0980000000000001</v>
      </c>
      <c r="E30" s="36">
        <v>4</v>
      </c>
      <c r="F30" s="132"/>
      <c r="G30" s="37"/>
      <c r="H30" s="37"/>
      <c r="I30" s="37"/>
      <c r="J30" s="37"/>
      <c r="K30" s="37"/>
      <c r="L30" s="37"/>
      <c r="M30" s="37"/>
      <c r="N30" s="37"/>
      <c r="O30" s="37"/>
      <c r="P30" s="38"/>
      <c r="Q30" s="75">
        <f t="shared" si="0"/>
        <v>0</v>
      </c>
      <c r="R30" s="73">
        <f t="shared" si="1"/>
        <v>0</v>
      </c>
      <c r="S30" s="77">
        <f t="shared" si="2"/>
        <v>0</v>
      </c>
      <c r="T30" s="76">
        <f t="shared" si="3"/>
        <v>0</v>
      </c>
      <c r="U30" s="76">
        <f>+H30*E30*D30*6</f>
        <v>0</v>
      </c>
      <c r="V30" s="76" t="e">
        <f>+#REF!*E30*D30*6</f>
        <v>#REF!</v>
      </c>
      <c r="W30" s="76">
        <f>+L30*E30*D30*6</f>
        <v>0</v>
      </c>
    </row>
    <row r="31" spans="1:23" ht="15.75" x14ac:dyDescent="0.25">
      <c r="A31" s="33">
        <f>_xlfn.AGGREGATE(3,5,$B$26:B31)</f>
        <v>6</v>
      </c>
      <c r="B31" s="51" t="s">
        <v>31</v>
      </c>
      <c r="C31" s="34" t="s">
        <v>32</v>
      </c>
      <c r="D31" s="35">
        <v>0.90100000000000002</v>
      </c>
      <c r="E31" s="36">
        <v>4</v>
      </c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8"/>
      <c r="Q31" s="75">
        <f t="shared" si="0"/>
        <v>0</v>
      </c>
      <c r="R31" s="73">
        <f t="shared" si="1"/>
        <v>0</v>
      </c>
      <c r="S31" s="77">
        <f t="shared" si="2"/>
        <v>0</v>
      </c>
      <c r="T31" s="76">
        <f t="shared" si="3"/>
        <v>0</v>
      </c>
      <c r="U31" s="76">
        <f>+H31*E31*D31*6</f>
        <v>0</v>
      </c>
      <c r="V31" s="76" t="e">
        <f>+#REF!*E31*D31*6</f>
        <v>#REF!</v>
      </c>
      <c r="W31" s="76">
        <f>+L31*E31*D31*6</f>
        <v>0</v>
      </c>
    </row>
    <row r="32" spans="1:23" ht="15.75" x14ac:dyDescent="0.25">
      <c r="A32" s="33">
        <f>_xlfn.AGGREGATE(3,5,$B$26:B32)</f>
        <v>7</v>
      </c>
      <c r="B32" s="51" t="s">
        <v>33</v>
      </c>
      <c r="C32" s="34" t="s">
        <v>34</v>
      </c>
      <c r="D32" s="35">
        <v>0.94099999999999995</v>
      </c>
      <c r="E32" s="36">
        <v>4</v>
      </c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8"/>
      <c r="Q32" s="75">
        <f t="shared" si="0"/>
        <v>0</v>
      </c>
      <c r="R32" s="73">
        <f t="shared" si="1"/>
        <v>0</v>
      </c>
      <c r="S32" s="77">
        <f t="shared" si="2"/>
        <v>0</v>
      </c>
      <c r="T32" s="76">
        <f t="shared" si="3"/>
        <v>0</v>
      </c>
      <c r="U32" s="76">
        <f>+H32*E32*D32*6</f>
        <v>0</v>
      </c>
      <c r="V32" s="76" t="e">
        <f>+#REF!*E32*D32*6</f>
        <v>#REF!</v>
      </c>
      <c r="W32" s="76">
        <f>+L32*E32*D32*6</f>
        <v>0</v>
      </c>
    </row>
    <row r="33" spans="1:23" ht="15.75" x14ac:dyDescent="0.25">
      <c r="A33" s="33">
        <f>_xlfn.AGGREGATE(3,5,$B$26:B33)</f>
        <v>8</v>
      </c>
      <c r="B33" s="51" t="s">
        <v>14</v>
      </c>
      <c r="C33" s="34" t="s">
        <v>15</v>
      </c>
      <c r="D33" s="35">
        <v>0.997</v>
      </c>
      <c r="E33" s="36">
        <v>4</v>
      </c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8"/>
      <c r="Q33" s="75">
        <f t="shared" si="0"/>
        <v>0</v>
      </c>
      <c r="R33" s="73">
        <f t="shared" si="1"/>
        <v>0</v>
      </c>
      <c r="S33" s="76">
        <f t="shared" si="2"/>
        <v>0</v>
      </c>
      <c r="T33" s="77">
        <f t="shared" si="3"/>
        <v>0</v>
      </c>
      <c r="U33" s="76" t="e">
        <f>+#REF!*E33*D33*6</f>
        <v>#REF!</v>
      </c>
      <c r="V33" s="76">
        <f>+L33*D33*E33*6</f>
        <v>0</v>
      </c>
    </row>
    <row r="34" spans="1:23" ht="15.75" x14ac:dyDescent="0.25">
      <c r="A34" s="33">
        <f>_xlfn.AGGREGATE(3,5,$B$26:B34)</f>
        <v>9</v>
      </c>
      <c r="B34" s="51" t="s">
        <v>16</v>
      </c>
      <c r="C34" s="34" t="s">
        <v>35</v>
      </c>
      <c r="D34" s="35">
        <v>0.65800000000000003</v>
      </c>
      <c r="E34" s="36">
        <v>4</v>
      </c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8"/>
      <c r="Q34" s="75">
        <f t="shared" si="0"/>
        <v>0</v>
      </c>
      <c r="R34" s="73">
        <f t="shared" si="1"/>
        <v>0</v>
      </c>
      <c r="S34" s="77">
        <f t="shared" si="2"/>
        <v>0</v>
      </c>
      <c r="T34" s="76">
        <f t="shared" si="3"/>
        <v>0</v>
      </c>
      <c r="U34" s="76">
        <f>+H34*E34*D34*6</f>
        <v>0</v>
      </c>
      <c r="V34" s="76" t="e">
        <f>+#REF!*E34*D34*6</f>
        <v>#REF!</v>
      </c>
      <c r="W34" s="76">
        <f>+L34*E34*D34*6</f>
        <v>0</v>
      </c>
    </row>
    <row r="35" spans="1:23" ht="15.75" x14ac:dyDescent="0.25">
      <c r="A35" s="33">
        <f>_xlfn.AGGREGATE(3,5,$B$26:B35)</f>
        <v>10</v>
      </c>
      <c r="B35" s="51" t="s">
        <v>36</v>
      </c>
      <c r="C35" s="34" t="s">
        <v>37</v>
      </c>
      <c r="D35" s="35">
        <v>0.217</v>
      </c>
      <c r="E35" s="36">
        <v>10</v>
      </c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8"/>
      <c r="Q35" s="75">
        <f t="shared" si="0"/>
        <v>0</v>
      </c>
      <c r="R35" s="73">
        <f t="shared" si="1"/>
        <v>0</v>
      </c>
      <c r="S35" s="76">
        <f t="shared" si="2"/>
        <v>0</v>
      </c>
      <c r="T35" s="77">
        <f t="shared" si="3"/>
        <v>0</v>
      </c>
    </row>
    <row r="36" spans="1:23" ht="15.75" x14ac:dyDescent="0.25">
      <c r="A36" s="33">
        <f>_xlfn.AGGREGATE(3,5,$B$26:B36)</f>
        <v>11</v>
      </c>
      <c r="B36" s="51" t="s">
        <v>12</v>
      </c>
      <c r="C36" s="34" t="s">
        <v>13</v>
      </c>
      <c r="D36" s="35">
        <v>0.48399999999999999</v>
      </c>
      <c r="E36" s="36">
        <v>10</v>
      </c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8"/>
      <c r="Q36" s="75">
        <f t="shared" si="0"/>
        <v>0</v>
      </c>
      <c r="R36" s="73">
        <f t="shared" si="1"/>
        <v>0</v>
      </c>
      <c r="S36" s="77">
        <f t="shared" si="2"/>
        <v>0</v>
      </c>
      <c r="T36" s="76">
        <f t="shared" si="3"/>
        <v>0</v>
      </c>
      <c r="U36" s="76">
        <f>+H36*E36*D36*6</f>
        <v>0</v>
      </c>
      <c r="V36" s="76" t="e">
        <f>+#REF!*E36*D36*6</f>
        <v>#REF!</v>
      </c>
      <c r="W36" s="76">
        <f>+L36*E36*D36*6</f>
        <v>0</v>
      </c>
    </row>
    <row r="37" spans="1:23" ht="15.75" x14ac:dyDescent="0.25">
      <c r="A37" s="33">
        <f>_xlfn.AGGREGATE(3,5,$B$26:B37)</f>
        <v>12</v>
      </c>
      <c r="B37" s="51" t="s">
        <v>38</v>
      </c>
      <c r="C37" s="34" t="s">
        <v>39</v>
      </c>
      <c r="D37" s="35">
        <v>0.23300000000000001</v>
      </c>
      <c r="E37" s="36">
        <v>10</v>
      </c>
      <c r="F37" s="37"/>
      <c r="G37" s="37"/>
      <c r="H37" s="72"/>
      <c r="I37" s="72"/>
      <c r="J37" s="72"/>
      <c r="K37" s="72"/>
      <c r="L37" s="72"/>
      <c r="M37" s="37"/>
      <c r="N37" s="37"/>
      <c r="O37" s="37"/>
      <c r="P37" s="38"/>
      <c r="Q37" s="75">
        <f t="shared" si="0"/>
        <v>0</v>
      </c>
      <c r="R37" s="73">
        <f t="shared" si="1"/>
        <v>0</v>
      </c>
      <c r="S37" s="76">
        <f t="shared" si="2"/>
        <v>0</v>
      </c>
      <c r="T37" s="77">
        <f t="shared" si="3"/>
        <v>0</v>
      </c>
      <c r="U37" s="76" t="e">
        <f>+#REF!*E37*D37*6</f>
        <v>#REF!</v>
      </c>
      <c r="V37" s="76">
        <f>+L37*D37*E37*6</f>
        <v>0</v>
      </c>
    </row>
    <row r="38" spans="1:23" ht="15.75" x14ac:dyDescent="0.25">
      <c r="A38" s="33">
        <f>_xlfn.AGGREGATE(3,5,$B$26:B38)</f>
        <v>13</v>
      </c>
      <c r="B38" s="51" t="s">
        <v>40</v>
      </c>
      <c r="C38" s="34" t="s">
        <v>41</v>
      </c>
      <c r="D38" s="35">
        <v>0.78</v>
      </c>
      <c r="E38" s="36">
        <v>4</v>
      </c>
      <c r="F38" s="37"/>
      <c r="G38" s="37"/>
      <c r="H38" s="72"/>
      <c r="I38" s="72"/>
      <c r="J38" s="72"/>
      <c r="K38" s="72"/>
      <c r="L38" s="72"/>
      <c r="M38" s="37"/>
      <c r="N38" s="37"/>
      <c r="O38" s="37"/>
      <c r="P38" s="38"/>
      <c r="Q38" s="75">
        <f t="shared" si="0"/>
        <v>0</v>
      </c>
      <c r="R38" s="73">
        <f t="shared" si="1"/>
        <v>0</v>
      </c>
      <c r="T38" s="77">
        <f t="shared" si="3"/>
        <v>0</v>
      </c>
    </row>
    <row r="39" spans="1:23" ht="15.75" x14ac:dyDescent="0.25">
      <c r="A39" s="33">
        <f>_xlfn.AGGREGATE(3,5,$B$26:B39)</f>
        <v>14</v>
      </c>
      <c r="B39" s="51" t="s">
        <v>42</v>
      </c>
      <c r="C39" s="34" t="s">
        <v>43</v>
      </c>
      <c r="D39" s="35">
        <v>0.68100000000000005</v>
      </c>
      <c r="E39" s="36">
        <v>4</v>
      </c>
      <c r="F39" s="37"/>
      <c r="G39" s="37"/>
      <c r="H39" s="133"/>
      <c r="I39" s="72"/>
      <c r="J39" s="72"/>
      <c r="K39" s="72"/>
      <c r="L39" s="72"/>
      <c r="M39" s="37"/>
      <c r="N39" s="37"/>
      <c r="O39" s="37"/>
      <c r="P39" s="38"/>
      <c r="Q39" s="75">
        <f t="shared" si="0"/>
        <v>0</v>
      </c>
      <c r="R39" s="73">
        <f t="shared" si="1"/>
        <v>0</v>
      </c>
      <c r="T39" s="77">
        <f t="shared" si="3"/>
        <v>0</v>
      </c>
    </row>
    <row r="40" spans="1:23" ht="15.75" x14ac:dyDescent="0.25">
      <c r="A40" s="33">
        <f>_xlfn.AGGREGATE(3,5,$B$26:B40)</f>
        <v>15</v>
      </c>
      <c r="B40" s="51" t="s">
        <v>44</v>
      </c>
      <c r="C40" s="34" t="s">
        <v>45</v>
      </c>
      <c r="D40" s="35">
        <v>0.34100000000000003</v>
      </c>
      <c r="E40" s="36">
        <v>10</v>
      </c>
      <c r="F40" s="37"/>
      <c r="G40" s="37"/>
      <c r="H40" s="72"/>
      <c r="I40" s="72"/>
      <c r="J40" s="72"/>
      <c r="K40" s="72"/>
      <c r="L40" s="72"/>
      <c r="M40" s="37"/>
      <c r="N40" s="37"/>
      <c r="O40" s="37"/>
      <c r="P40" s="38"/>
      <c r="Q40" s="75">
        <f t="shared" si="0"/>
        <v>0</v>
      </c>
      <c r="R40" s="73">
        <f t="shared" si="1"/>
        <v>0</v>
      </c>
      <c r="T40" s="77">
        <f t="shared" si="3"/>
        <v>0</v>
      </c>
    </row>
    <row r="41" spans="1:23" ht="15.75" x14ac:dyDescent="0.25">
      <c r="A41" s="33">
        <f>_xlfn.AGGREGATE(3,5,$B$26:B41)</f>
        <v>16</v>
      </c>
      <c r="B41" s="51" t="s">
        <v>270</v>
      </c>
      <c r="C41" s="34" t="s">
        <v>271</v>
      </c>
      <c r="D41" s="35">
        <v>0.55200000000000005</v>
      </c>
      <c r="E41" s="36">
        <v>5</v>
      </c>
      <c r="F41" s="37"/>
      <c r="G41" s="37"/>
      <c r="H41" s="72"/>
      <c r="I41" s="72"/>
      <c r="J41" s="72"/>
      <c r="K41" s="72"/>
      <c r="L41" s="72"/>
      <c r="M41" s="37"/>
      <c r="N41" s="37"/>
      <c r="O41" s="37"/>
      <c r="P41" s="38"/>
      <c r="Q41" s="75">
        <f t="shared" si="0"/>
        <v>0</v>
      </c>
      <c r="R41" s="73">
        <f t="shared" si="1"/>
        <v>0</v>
      </c>
    </row>
    <row r="42" spans="1:23" ht="15.75" x14ac:dyDescent="0.25">
      <c r="A42" s="33">
        <f>_xlfn.AGGREGATE(3,5,$B$26:B42)</f>
        <v>17</v>
      </c>
      <c r="B42" s="51" t="s">
        <v>230</v>
      </c>
      <c r="C42" s="34" t="s">
        <v>231</v>
      </c>
      <c r="D42" s="35">
        <v>0.95399999999999996</v>
      </c>
      <c r="E42" s="36">
        <v>4</v>
      </c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8"/>
      <c r="Q42" s="75">
        <f t="shared" si="0"/>
        <v>0</v>
      </c>
      <c r="R42" s="73">
        <f t="shared" si="1"/>
        <v>0</v>
      </c>
    </row>
    <row r="43" spans="1:23" ht="15.75" x14ac:dyDescent="0.25">
      <c r="A43" s="33">
        <f>_xlfn.AGGREGATE(3,5,$B$26:B43)</f>
        <v>18</v>
      </c>
      <c r="B43" s="51" t="s">
        <v>232</v>
      </c>
      <c r="C43" s="34" t="s">
        <v>45</v>
      </c>
      <c r="D43" s="35">
        <v>0.34100000000000003</v>
      </c>
      <c r="E43" s="36">
        <v>10</v>
      </c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8"/>
      <c r="Q43" s="75">
        <f t="shared" si="0"/>
        <v>0</v>
      </c>
      <c r="R43" s="73">
        <f t="shared" si="1"/>
        <v>0</v>
      </c>
    </row>
    <row r="44" spans="1:23" ht="15.75" x14ac:dyDescent="0.25">
      <c r="A44" s="33">
        <f>_xlfn.AGGREGATE(3,5,$B$26:B44)</f>
        <v>19</v>
      </c>
      <c r="B44" s="51" t="s">
        <v>46</v>
      </c>
      <c r="C44" s="34" t="s">
        <v>47</v>
      </c>
      <c r="D44" s="35">
        <v>0.25800000000000001</v>
      </c>
      <c r="E44" s="36">
        <v>10</v>
      </c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8"/>
      <c r="Q44" s="75">
        <f t="shared" si="0"/>
        <v>0</v>
      </c>
      <c r="R44" s="73">
        <f t="shared" si="1"/>
        <v>0</v>
      </c>
    </row>
    <row r="45" spans="1:23" ht="15.75" x14ac:dyDescent="0.25">
      <c r="A45" s="33">
        <f>_xlfn.AGGREGATE(3,5,$B$26:B45)</f>
        <v>20</v>
      </c>
      <c r="B45" s="51" t="s">
        <v>48</v>
      </c>
      <c r="C45" s="34" t="s">
        <v>49</v>
      </c>
      <c r="D45" s="35">
        <v>0.34799999999999998</v>
      </c>
      <c r="E45" s="36">
        <v>10</v>
      </c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8"/>
      <c r="Q45" s="75">
        <f t="shared" si="0"/>
        <v>0</v>
      </c>
      <c r="R45" s="73">
        <f t="shared" si="1"/>
        <v>0</v>
      </c>
    </row>
    <row r="46" spans="1:23" ht="15.75" x14ac:dyDescent="0.25">
      <c r="A46" s="33">
        <f>_xlfn.AGGREGATE(3,5,$B$26:B46)</f>
        <v>21</v>
      </c>
      <c r="B46" s="51" t="s">
        <v>50</v>
      </c>
      <c r="C46" s="34" t="s">
        <v>51</v>
      </c>
      <c r="D46" s="35">
        <v>1.0509999999999999</v>
      </c>
      <c r="E46" s="36">
        <v>4</v>
      </c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8"/>
      <c r="Q46" s="75">
        <f t="shared" si="0"/>
        <v>0</v>
      </c>
      <c r="R46" s="73">
        <f t="shared" si="1"/>
        <v>0</v>
      </c>
    </row>
    <row r="47" spans="1:23" ht="15.75" x14ac:dyDescent="0.25">
      <c r="A47" s="33">
        <f>_xlfn.AGGREGATE(3,5,$B$26:B47)</f>
        <v>22</v>
      </c>
      <c r="B47" s="51" t="s">
        <v>52</v>
      </c>
      <c r="C47" s="34" t="s">
        <v>53</v>
      </c>
      <c r="D47" s="35">
        <v>0.13700000000000001</v>
      </c>
      <c r="E47" s="36">
        <v>10</v>
      </c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8"/>
      <c r="Q47" s="75">
        <f t="shared" si="0"/>
        <v>0</v>
      </c>
      <c r="R47" s="73">
        <f t="shared" si="1"/>
        <v>0</v>
      </c>
    </row>
    <row r="48" spans="1:23" ht="15.75" x14ac:dyDescent="0.25">
      <c r="A48" s="33">
        <f>_xlfn.AGGREGATE(3,5,$B$26:B48)</f>
        <v>23</v>
      </c>
      <c r="B48" s="51" t="s">
        <v>54</v>
      </c>
      <c r="C48" s="34" t="s">
        <v>39</v>
      </c>
      <c r="D48" s="35">
        <v>0.23300000000000001</v>
      </c>
      <c r="E48" s="36">
        <v>10</v>
      </c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8"/>
      <c r="Q48" s="75">
        <f t="shared" si="0"/>
        <v>0</v>
      </c>
      <c r="R48" s="73">
        <f t="shared" si="1"/>
        <v>0</v>
      </c>
    </row>
    <row r="49" spans="1:23" ht="15.75" x14ac:dyDescent="0.25">
      <c r="A49" s="33">
        <f>_xlfn.AGGREGATE(3,5,$B$26:B49)</f>
        <v>24</v>
      </c>
      <c r="B49" s="51" t="s">
        <v>272</v>
      </c>
      <c r="C49" s="34" t="s">
        <v>55</v>
      </c>
      <c r="D49" s="35">
        <v>0.28999999999999998</v>
      </c>
      <c r="E49" s="36">
        <v>10</v>
      </c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8"/>
      <c r="Q49" s="75">
        <f t="shared" si="0"/>
        <v>0</v>
      </c>
      <c r="R49" s="73">
        <f t="shared" si="1"/>
        <v>0</v>
      </c>
    </row>
    <row r="50" spans="1:23" ht="20.25" customHeight="1" x14ac:dyDescent="0.25">
      <c r="A50" s="33">
        <f>_xlfn.AGGREGATE(3,5,$B$26:B50)</f>
        <v>25</v>
      </c>
      <c r="B50" s="51" t="s">
        <v>273</v>
      </c>
      <c r="C50" s="34" t="s">
        <v>56</v>
      </c>
      <c r="D50" s="35">
        <v>0.317</v>
      </c>
      <c r="E50" s="36">
        <v>10</v>
      </c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8"/>
      <c r="Q50" s="75">
        <f t="shared" si="0"/>
        <v>0</v>
      </c>
      <c r="R50" s="73">
        <f t="shared" si="1"/>
        <v>0</v>
      </c>
    </row>
    <row r="51" spans="1:23" ht="20.25" customHeight="1" x14ac:dyDescent="0.25">
      <c r="A51" s="33">
        <f>_xlfn.AGGREGATE(3,5,$B$26:B51)</f>
        <v>26</v>
      </c>
      <c r="B51" s="51" t="s">
        <v>57</v>
      </c>
      <c r="C51" s="34" t="s">
        <v>58</v>
      </c>
      <c r="D51" s="35">
        <v>1.1200000000000001</v>
      </c>
      <c r="E51" s="36">
        <v>2</v>
      </c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8"/>
      <c r="Q51" s="75">
        <f t="shared" si="0"/>
        <v>0</v>
      </c>
      <c r="R51" s="73">
        <f t="shared" si="1"/>
        <v>0</v>
      </c>
      <c r="S51" s="77">
        <f>+F51*E51*D51*6</f>
        <v>0</v>
      </c>
      <c r="T51" s="76">
        <f>+G51*E51*D51*6</f>
        <v>0</v>
      </c>
      <c r="U51" s="76">
        <f>+H51*E51*D51*6</f>
        <v>0</v>
      </c>
      <c r="V51" s="76" t="e">
        <f>+#REF!*E51*D51*6</f>
        <v>#REF!</v>
      </c>
      <c r="W51" s="76">
        <f>+L51*E51*D51*6</f>
        <v>0</v>
      </c>
    </row>
    <row r="52" spans="1:23" ht="15.75" x14ac:dyDescent="0.25">
      <c r="A52" s="33">
        <f>_xlfn.AGGREGATE(3,5,$B$26:B52)</f>
        <v>27</v>
      </c>
      <c r="B52" s="51" t="s">
        <v>224</v>
      </c>
      <c r="C52" s="34" t="s">
        <v>225</v>
      </c>
      <c r="D52" s="35">
        <v>0.66400000000000003</v>
      </c>
      <c r="E52" s="36">
        <v>4</v>
      </c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8"/>
      <c r="Q52" s="75">
        <f t="shared" si="0"/>
        <v>0</v>
      </c>
      <c r="R52" s="73">
        <f t="shared" si="1"/>
        <v>0</v>
      </c>
      <c r="S52" s="76">
        <f>+F52*E52*D52*6</f>
        <v>0</v>
      </c>
      <c r="T52" s="77">
        <f>+G52*E52*D52*6</f>
        <v>0</v>
      </c>
      <c r="U52" s="76" t="e">
        <f>+#REF!*E52*D52*6</f>
        <v>#REF!</v>
      </c>
      <c r="V52" s="76">
        <f>+L52*D52*E52*6</f>
        <v>0</v>
      </c>
    </row>
    <row r="53" spans="1:23" ht="15.75" x14ac:dyDescent="0.25">
      <c r="A53" s="33">
        <f>_xlfn.AGGREGATE(3,5,$B$26:B53)</f>
        <v>28</v>
      </c>
      <c r="B53" s="51" t="s">
        <v>59</v>
      </c>
      <c r="C53" s="34" t="s">
        <v>60</v>
      </c>
      <c r="D53" s="35">
        <v>0.66400000000000003</v>
      </c>
      <c r="E53" s="36">
        <v>4</v>
      </c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8"/>
      <c r="Q53" s="75">
        <f t="shared" si="0"/>
        <v>0</v>
      </c>
      <c r="R53" s="73">
        <f t="shared" si="1"/>
        <v>0</v>
      </c>
    </row>
    <row r="54" spans="1:23" ht="15.75" x14ac:dyDescent="0.25">
      <c r="A54" s="33">
        <f>_xlfn.AGGREGATE(3,5,$B$26:B54)</f>
        <v>29</v>
      </c>
      <c r="B54" s="51" t="s">
        <v>61</v>
      </c>
      <c r="C54" s="34" t="s">
        <v>11</v>
      </c>
      <c r="D54" s="35">
        <v>0.86450000000000005</v>
      </c>
      <c r="E54" s="36">
        <v>4</v>
      </c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8"/>
      <c r="Q54" s="75">
        <f t="shared" si="0"/>
        <v>0</v>
      </c>
      <c r="R54" s="73">
        <f t="shared" si="1"/>
        <v>0</v>
      </c>
      <c r="S54" s="76">
        <f>+F54*E54*D54*6</f>
        <v>0</v>
      </c>
      <c r="T54" s="77">
        <f>+G54*E54*D54*6</f>
        <v>0</v>
      </c>
      <c r="U54" s="76" t="e">
        <f>+#REF!*E54*D54*6</f>
        <v>#REF!</v>
      </c>
      <c r="V54" s="76">
        <f>+L54*D54*E54*6</f>
        <v>0</v>
      </c>
    </row>
    <row r="55" spans="1:23" ht="15.75" x14ac:dyDescent="0.25">
      <c r="A55" s="33">
        <f>_xlfn.AGGREGATE(3,5,$B$26:B55)</f>
        <v>30</v>
      </c>
      <c r="B55" s="51" t="s">
        <v>62</v>
      </c>
      <c r="C55" s="34" t="s">
        <v>63</v>
      </c>
      <c r="D55" s="35">
        <v>0.74400000000000011</v>
      </c>
      <c r="E55" s="36">
        <v>4</v>
      </c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8"/>
      <c r="Q55" s="75">
        <f t="shared" si="0"/>
        <v>0</v>
      </c>
      <c r="R55" s="73">
        <f t="shared" si="1"/>
        <v>0</v>
      </c>
      <c r="S55" s="76">
        <f>+F55*E55*D55*6</f>
        <v>0</v>
      </c>
      <c r="T55" s="77">
        <f>+G55*E55*D55*6</f>
        <v>0</v>
      </c>
      <c r="U55" s="76" t="e">
        <f>+#REF!*E55*D55*6</f>
        <v>#REF!</v>
      </c>
      <c r="V55" s="76">
        <f>+L55*D55*E55*6</f>
        <v>0</v>
      </c>
    </row>
    <row r="56" spans="1:23" ht="15.75" x14ac:dyDescent="0.25">
      <c r="A56" s="33">
        <f>_xlfn.AGGREGATE(3,5,$B$26:B56)</f>
        <v>31</v>
      </c>
      <c r="B56" s="51" t="s">
        <v>64</v>
      </c>
      <c r="C56" s="34" t="s">
        <v>11</v>
      </c>
      <c r="D56" s="35">
        <v>0.85699999999999998</v>
      </c>
      <c r="E56" s="36">
        <v>4</v>
      </c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8"/>
      <c r="Q56" s="75">
        <f t="shared" si="0"/>
        <v>0</v>
      </c>
      <c r="R56" s="73">
        <f t="shared" si="1"/>
        <v>0</v>
      </c>
    </row>
    <row r="57" spans="1:23" ht="15.75" x14ac:dyDescent="0.25">
      <c r="A57" s="33">
        <f>_xlfn.AGGREGATE(3,5,$B$26:B57)</f>
        <v>32</v>
      </c>
      <c r="B57" s="51" t="s">
        <v>65</v>
      </c>
      <c r="C57" s="34" t="s">
        <v>32</v>
      </c>
      <c r="D57" s="35">
        <v>0.77200000000000002</v>
      </c>
      <c r="E57" s="36">
        <v>4</v>
      </c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8"/>
      <c r="Q57" s="75">
        <f t="shared" si="0"/>
        <v>0</v>
      </c>
      <c r="R57" s="73">
        <f t="shared" si="1"/>
        <v>0</v>
      </c>
    </row>
    <row r="58" spans="1:23" ht="15.75" x14ac:dyDescent="0.25">
      <c r="A58" s="33">
        <f>_xlfn.AGGREGATE(3,5,$B$26:B58)</f>
        <v>33</v>
      </c>
      <c r="B58" s="51" t="s">
        <v>266</v>
      </c>
      <c r="C58" s="34" t="s">
        <v>391</v>
      </c>
      <c r="D58" s="35">
        <v>0.63700000000000001</v>
      </c>
      <c r="E58" s="36">
        <v>5</v>
      </c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8"/>
      <c r="Q58" s="75">
        <f t="shared" si="0"/>
        <v>0</v>
      </c>
      <c r="R58" s="73">
        <f t="shared" si="1"/>
        <v>0</v>
      </c>
      <c r="S58" s="76">
        <f>+F58*E58*D58*6</f>
        <v>0</v>
      </c>
      <c r="T58" s="77">
        <f>+G58*E58*D58*6</f>
        <v>0</v>
      </c>
      <c r="U58" s="76" t="e">
        <f>+#REF!*E58*D58*6</f>
        <v>#REF!</v>
      </c>
      <c r="V58" s="76">
        <f>+L58*D58*E58*6</f>
        <v>0</v>
      </c>
    </row>
    <row r="59" spans="1:23" ht="15.75" x14ac:dyDescent="0.25">
      <c r="A59" s="33">
        <f>_xlfn.AGGREGATE(3,5,$B$26:B59)</f>
        <v>34</v>
      </c>
      <c r="B59" s="51" t="s">
        <v>66</v>
      </c>
      <c r="C59" s="34" t="s">
        <v>261</v>
      </c>
      <c r="D59" s="35">
        <v>3.06</v>
      </c>
      <c r="E59" s="36">
        <v>1</v>
      </c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8"/>
      <c r="Q59" s="75">
        <f t="shared" si="0"/>
        <v>0</v>
      </c>
      <c r="R59" s="73">
        <f t="shared" si="1"/>
        <v>0</v>
      </c>
    </row>
    <row r="60" spans="1:23" ht="15.75" x14ac:dyDescent="0.25">
      <c r="A60" s="33">
        <f>_xlfn.AGGREGATE(3,5,$B$26:B60)</f>
        <v>35</v>
      </c>
      <c r="B60" s="51" t="s">
        <v>66</v>
      </c>
      <c r="C60" s="34" t="s">
        <v>274</v>
      </c>
      <c r="D60" s="35">
        <v>3.06</v>
      </c>
      <c r="E60" s="36">
        <v>1</v>
      </c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8"/>
      <c r="Q60" s="75">
        <f t="shared" si="0"/>
        <v>0</v>
      </c>
      <c r="R60" s="73">
        <f t="shared" si="1"/>
        <v>0</v>
      </c>
    </row>
    <row r="61" spans="1:23" ht="15.75" x14ac:dyDescent="0.25">
      <c r="A61" s="33">
        <f>_xlfn.AGGREGATE(3,5,$B$26:B61)</f>
        <v>36</v>
      </c>
      <c r="B61" s="51" t="s">
        <v>66</v>
      </c>
      <c r="C61" s="34" t="s">
        <v>262</v>
      </c>
      <c r="D61" s="35">
        <v>3.06</v>
      </c>
      <c r="E61" s="36">
        <v>1</v>
      </c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8"/>
      <c r="Q61" s="75">
        <f>SUM(F61:P61)</f>
        <v>0</v>
      </c>
      <c r="R61" s="73">
        <f t="shared" si="1"/>
        <v>0</v>
      </c>
    </row>
    <row r="62" spans="1:23" ht="15.75" x14ac:dyDescent="0.25">
      <c r="A62" s="33">
        <f>_xlfn.AGGREGATE(3,5,$B$26:B62)</f>
        <v>37</v>
      </c>
      <c r="B62" s="51" t="s">
        <v>67</v>
      </c>
      <c r="C62" s="34" t="s">
        <v>68</v>
      </c>
      <c r="D62" s="35">
        <v>0.23</v>
      </c>
      <c r="E62" s="36">
        <v>10</v>
      </c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8"/>
      <c r="Q62" s="75">
        <f>SUM(F62:P62)*E62</f>
        <v>0</v>
      </c>
      <c r="R62" s="73">
        <f t="shared" si="1"/>
        <v>0</v>
      </c>
    </row>
    <row r="63" spans="1:23" ht="15.75" x14ac:dyDescent="0.25">
      <c r="A63" s="33">
        <f>_xlfn.AGGREGATE(3,5,$B$26:B63)</f>
        <v>38</v>
      </c>
      <c r="B63" s="51" t="s">
        <v>69</v>
      </c>
      <c r="C63" s="34" t="s">
        <v>109</v>
      </c>
      <c r="D63" s="35">
        <v>0.36399999999999999</v>
      </c>
      <c r="E63" s="36">
        <v>10</v>
      </c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8"/>
      <c r="Q63" s="75">
        <f>SUM(F63:P63)</f>
        <v>0</v>
      </c>
      <c r="R63" s="73">
        <f t="shared" si="1"/>
        <v>0</v>
      </c>
    </row>
    <row r="64" spans="1:23" ht="15.75" x14ac:dyDescent="0.25">
      <c r="A64" s="33">
        <f>_xlfn.AGGREGATE(3,5,$B$26:B64)</f>
        <v>39</v>
      </c>
      <c r="B64" s="51" t="s">
        <v>70</v>
      </c>
      <c r="C64" s="34" t="s">
        <v>110</v>
      </c>
      <c r="D64" s="35">
        <v>0.36399999999999999</v>
      </c>
      <c r="E64" s="36">
        <v>10</v>
      </c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8"/>
      <c r="Q64" s="75">
        <f>SUM(F64:P64)</f>
        <v>0</v>
      </c>
      <c r="R64" s="73">
        <f t="shared" si="1"/>
        <v>0</v>
      </c>
    </row>
    <row r="65" spans="1:18" ht="15.75" x14ac:dyDescent="0.25">
      <c r="A65" s="33">
        <f>_xlfn.AGGREGATE(3,5,$B$26:B65)</f>
        <v>40</v>
      </c>
      <c r="B65" s="51" t="s">
        <v>71</v>
      </c>
      <c r="C65" s="34" t="s">
        <v>72</v>
      </c>
      <c r="D65" s="35">
        <v>2.9</v>
      </c>
      <c r="E65" s="36">
        <v>1</v>
      </c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8"/>
      <c r="Q65" s="75">
        <f t="shared" ref="Q65:Q69" si="4">SUM(F65:P65)*E65</f>
        <v>0</v>
      </c>
      <c r="R65" s="73">
        <f t="shared" si="1"/>
        <v>0</v>
      </c>
    </row>
    <row r="66" spans="1:18" ht="15.75" x14ac:dyDescent="0.25">
      <c r="A66" s="33">
        <f>_xlfn.AGGREGATE(3,5,$B$26:B66)</f>
        <v>41</v>
      </c>
      <c r="B66" s="51" t="s">
        <v>73</v>
      </c>
      <c r="C66" s="34" t="s">
        <v>74</v>
      </c>
      <c r="D66" s="35">
        <v>0.377</v>
      </c>
      <c r="E66" s="36">
        <v>10</v>
      </c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8"/>
      <c r="Q66" s="75">
        <f t="shared" si="4"/>
        <v>0</v>
      </c>
      <c r="R66" s="73">
        <f t="shared" si="1"/>
        <v>0</v>
      </c>
    </row>
    <row r="67" spans="1:18" ht="15.75" x14ac:dyDescent="0.25">
      <c r="A67" s="33">
        <f>_xlfn.AGGREGATE(3,5,$B$26:B67)</f>
        <v>42</v>
      </c>
      <c r="B67" s="51" t="s">
        <v>209</v>
      </c>
      <c r="C67" s="34" t="s">
        <v>210</v>
      </c>
      <c r="D67" s="35">
        <v>0.377</v>
      </c>
      <c r="E67" s="36">
        <v>10</v>
      </c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8"/>
      <c r="Q67" s="75">
        <f t="shared" si="4"/>
        <v>0</v>
      </c>
      <c r="R67" s="73">
        <f t="shared" si="1"/>
        <v>0</v>
      </c>
    </row>
    <row r="68" spans="1:18" ht="15.75" x14ac:dyDescent="0.25">
      <c r="A68" s="33">
        <f>_xlfn.AGGREGATE(3,5,$B$26:B68)</f>
        <v>43</v>
      </c>
      <c r="B68" s="51" t="s">
        <v>204</v>
      </c>
      <c r="C68" s="34" t="s">
        <v>205</v>
      </c>
      <c r="D68" s="35">
        <v>0.13300000000000001</v>
      </c>
      <c r="E68" s="36">
        <v>10</v>
      </c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75">
        <f t="shared" si="4"/>
        <v>0</v>
      </c>
      <c r="R68" s="73">
        <f t="shared" si="1"/>
        <v>0</v>
      </c>
    </row>
    <row r="69" spans="1:18" ht="15.75" x14ac:dyDescent="0.25">
      <c r="A69" s="33">
        <f>_xlfn.AGGREGATE(3,5,$B$26:B69)</f>
        <v>44</v>
      </c>
      <c r="B69" s="51" t="s">
        <v>75</v>
      </c>
      <c r="C69" s="34" t="s">
        <v>76</v>
      </c>
      <c r="D69" s="35">
        <v>1.8580000000000001</v>
      </c>
      <c r="E69" s="36">
        <v>1</v>
      </c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8"/>
      <c r="Q69" s="75">
        <f t="shared" si="4"/>
        <v>0</v>
      </c>
      <c r="R69" s="73">
        <f t="shared" si="1"/>
        <v>0</v>
      </c>
    </row>
    <row r="70" spans="1:18" ht="15.75" x14ac:dyDescent="0.25">
      <c r="A70" s="33">
        <f>_xlfn.AGGREGATE(3,5,$B$26:B70)</f>
        <v>45</v>
      </c>
      <c r="B70" s="51" t="s">
        <v>275</v>
      </c>
      <c r="C70" s="34" t="s">
        <v>276</v>
      </c>
      <c r="D70" s="35">
        <v>2.1339999999999999</v>
      </c>
      <c r="E70" s="36">
        <v>1</v>
      </c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8"/>
      <c r="Q70" s="75">
        <f>SUM(F70:P70)*E70</f>
        <v>0</v>
      </c>
      <c r="R70" s="73">
        <f t="shared" si="1"/>
        <v>0</v>
      </c>
    </row>
    <row r="71" spans="1:18" ht="15.75" x14ac:dyDescent="0.25">
      <c r="A71" s="33">
        <f>_xlfn.AGGREGATE(3,5,$B$26:B71)</f>
        <v>46</v>
      </c>
      <c r="B71" s="51" t="s">
        <v>365</v>
      </c>
      <c r="C71" s="34" t="s">
        <v>366</v>
      </c>
      <c r="D71" s="35">
        <v>0.30099999999999999</v>
      </c>
      <c r="E71" s="36">
        <v>10</v>
      </c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8"/>
      <c r="Q71" s="75">
        <f>SUM(F71:P71)*E71</f>
        <v>0</v>
      </c>
      <c r="R71" s="73">
        <f t="shared" si="1"/>
        <v>0</v>
      </c>
    </row>
    <row r="72" spans="1:18" ht="15.75" x14ac:dyDescent="0.25">
      <c r="A72" s="33">
        <f>_xlfn.AGGREGATE(3,5,$B$26:B72)</f>
        <v>47</v>
      </c>
      <c r="B72" s="51" t="s">
        <v>367</v>
      </c>
      <c r="C72" s="34" t="s">
        <v>368</v>
      </c>
      <c r="D72" s="35">
        <v>0.41699999999999998</v>
      </c>
      <c r="E72" s="36">
        <v>10</v>
      </c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8"/>
      <c r="Q72" s="75">
        <f>SUM(F72:P72)</f>
        <v>0</v>
      </c>
      <c r="R72" s="73">
        <f t="shared" si="1"/>
        <v>0</v>
      </c>
    </row>
    <row r="73" spans="1:18" ht="15.75" x14ac:dyDescent="0.25">
      <c r="A73" s="33">
        <f>_xlfn.AGGREGATE(3,5,$B$26:B73)</f>
        <v>48</v>
      </c>
      <c r="B73" s="51" t="s">
        <v>77</v>
      </c>
      <c r="C73" s="34" t="s">
        <v>78</v>
      </c>
      <c r="D73" s="35">
        <v>0.720387</v>
      </c>
      <c r="E73" s="36">
        <v>4</v>
      </c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8"/>
      <c r="Q73" s="75">
        <f>SUM(F73:P73)*E73</f>
        <v>0</v>
      </c>
      <c r="R73" s="73">
        <f t="shared" si="1"/>
        <v>0</v>
      </c>
    </row>
    <row r="74" spans="1:18" ht="15.75" x14ac:dyDescent="0.25">
      <c r="A74" s="33">
        <f>_xlfn.AGGREGATE(3,5,$B$26:B74)</f>
        <v>49</v>
      </c>
      <c r="B74" s="51" t="s">
        <v>79</v>
      </c>
      <c r="C74" s="34" t="s">
        <v>80</v>
      </c>
      <c r="D74" s="35">
        <v>0.63800000000000001</v>
      </c>
      <c r="E74" s="36">
        <v>5</v>
      </c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75">
        <f>SUM(F74:P74)*E74</f>
        <v>0</v>
      </c>
      <c r="R74" s="73">
        <f t="shared" si="1"/>
        <v>0</v>
      </c>
    </row>
    <row r="75" spans="1:18" ht="15.75" x14ac:dyDescent="0.25">
      <c r="A75" s="33">
        <f>_xlfn.AGGREGATE(3,5,$B$26:B75)</f>
        <v>50</v>
      </c>
      <c r="B75" s="51" t="s">
        <v>81</v>
      </c>
      <c r="C75" s="34" t="s">
        <v>409</v>
      </c>
      <c r="D75" s="35">
        <v>0.75475800000000004</v>
      </c>
      <c r="E75" s="36">
        <v>5</v>
      </c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8"/>
      <c r="Q75" s="75">
        <f t="shared" ref="Q75" si="5">SUM(F75:P75)*E75</f>
        <v>0</v>
      </c>
      <c r="R75" s="73">
        <f t="shared" si="1"/>
        <v>0</v>
      </c>
    </row>
    <row r="76" spans="1:18" ht="15.75" x14ac:dyDescent="0.25">
      <c r="A76" s="33">
        <f>_xlfn.AGGREGATE(3,5,$B$26:B76)</f>
        <v>51</v>
      </c>
      <c r="B76" s="51" t="s">
        <v>82</v>
      </c>
      <c r="C76" s="34" t="s">
        <v>83</v>
      </c>
      <c r="D76" s="35">
        <v>0.31211865</v>
      </c>
      <c r="E76" s="36">
        <v>5</v>
      </c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8"/>
      <c r="Q76" s="75">
        <f>SUM(F76:P76)*E76</f>
        <v>0</v>
      </c>
      <c r="R76" s="73">
        <f t="shared" si="1"/>
        <v>0</v>
      </c>
    </row>
    <row r="77" spans="1:18" ht="15.75" x14ac:dyDescent="0.25">
      <c r="A77" s="33">
        <f>_xlfn.AGGREGATE(3,5,$B$26:B77)</f>
        <v>52</v>
      </c>
      <c r="B77" s="51" t="s">
        <v>84</v>
      </c>
      <c r="C77" s="34" t="s">
        <v>85</v>
      </c>
      <c r="D77" s="35">
        <v>0.35082234000000001</v>
      </c>
      <c r="E77" s="36">
        <v>5</v>
      </c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8"/>
      <c r="Q77" s="75">
        <f>SUM(F77:P77)*E77</f>
        <v>0</v>
      </c>
      <c r="R77" s="73">
        <f t="shared" si="1"/>
        <v>0</v>
      </c>
    </row>
    <row r="78" spans="1:18" ht="15.75" x14ac:dyDescent="0.25">
      <c r="A78" s="33">
        <f>_xlfn.AGGREGATE(3,5,$B$26:B78)</f>
        <v>53</v>
      </c>
      <c r="B78" s="51" t="s">
        <v>86</v>
      </c>
      <c r="C78" s="34" t="s">
        <v>87</v>
      </c>
      <c r="D78" s="35">
        <v>0.8165245499999999</v>
      </c>
      <c r="E78" s="36">
        <v>4</v>
      </c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75">
        <f>SUM(F78:P78)*E78</f>
        <v>0</v>
      </c>
      <c r="R78" s="73">
        <f t="shared" si="1"/>
        <v>0</v>
      </c>
    </row>
    <row r="79" spans="1:18" ht="15.75" x14ac:dyDescent="0.25">
      <c r="A79" s="33">
        <f>_xlfn.AGGREGATE(3,5,$B$26:B79)</f>
        <v>54</v>
      </c>
      <c r="B79" s="51" t="s">
        <v>88</v>
      </c>
      <c r="C79" s="34" t="s">
        <v>89</v>
      </c>
      <c r="D79" s="35">
        <v>0.21887657999999999</v>
      </c>
      <c r="E79" s="36">
        <v>10</v>
      </c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8"/>
      <c r="Q79" s="75">
        <f>SUM(F79:P79)*E79</f>
        <v>0</v>
      </c>
      <c r="R79" s="73">
        <f t="shared" si="1"/>
        <v>0</v>
      </c>
    </row>
    <row r="80" spans="1:18" ht="15.75" x14ac:dyDescent="0.25">
      <c r="A80" s="33">
        <f>_xlfn.AGGREGATE(3,5,$B$26:B80)</f>
        <v>55</v>
      </c>
      <c r="B80" s="51" t="s">
        <v>90</v>
      </c>
      <c r="C80" s="50" t="s">
        <v>91</v>
      </c>
      <c r="D80" s="35">
        <v>0.421767</v>
      </c>
      <c r="E80" s="36">
        <v>5</v>
      </c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8"/>
      <c r="Q80" s="75">
        <f>SUM(F80:P80)</f>
        <v>0</v>
      </c>
      <c r="R80" s="73">
        <f t="shared" si="1"/>
        <v>0</v>
      </c>
    </row>
    <row r="81" spans="1:18" ht="15.75" x14ac:dyDescent="0.25">
      <c r="A81" s="33">
        <f>_xlfn.AGGREGATE(3,5,$B$26:B81)</f>
        <v>56</v>
      </c>
      <c r="B81" s="51" t="s">
        <v>92</v>
      </c>
      <c r="C81" s="34" t="s">
        <v>93</v>
      </c>
      <c r="D81" s="35">
        <v>0.130248</v>
      </c>
      <c r="E81" s="36">
        <v>10</v>
      </c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8"/>
      <c r="Q81" s="75">
        <f t="shared" ref="Q81" si="6">SUM(F81:P81)*E81</f>
        <v>0</v>
      </c>
      <c r="R81" s="73">
        <f t="shared" si="1"/>
        <v>0</v>
      </c>
    </row>
    <row r="82" spans="1:18" ht="15.75" x14ac:dyDescent="0.25">
      <c r="A82" s="33">
        <f>_xlfn.AGGREGATE(3,5,$B$26:B82)</f>
        <v>57</v>
      </c>
      <c r="B82" s="51" t="s">
        <v>94</v>
      </c>
      <c r="C82" s="34" t="s">
        <v>95</v>
      </c>
      <c r="D82" s="35">
        <v>0.497448</v>
      </c>
      <c r="E82" s="36">
        <v>5</v>
      </c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75">
        <f t="shared" ref="Q82:Q91" si="7">SUM(F82:P82)*E82</f>
        <v>0</v>
      </c>
      <c r="R82" s="73">
        <f t="shared" si="1"/>
        <v>0</v>
      </c>
    </row>
    <row r="83" spans="1:18" ht="15.75" x14ac:dyDescent="0.25">
      <c r="A83" s="33">
        <f>_xlfn.AGGREGATE(3,5,$B$26:B83)</f>
        <v>58</v>
      </c>
      <c r="B83" s="51" t="s">
        <v>96</v>
      </c>
      <c r="C83" s="34" t="s">
        <v>97</v>
      </c>
      <c r="D83" s="35">
        <v>0.20514788999999997</v>
      </c>
      <c r="E83" s="36">
        <v>10</v>
      </c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8"/>
      <c r="Q83" s="75">
        <f t="shared" si="7"/>
        <v>0</v>
      </c>
      <c r="R83" s="73">
        <f t="shared" si="1"/>
        <v>0</v>
      </c>
    </row>
    <row r="84" spans="1:18" ht="15.75" x14ac:dyDescent="0.25">
      <c r="A84" s="33">
        <f>_xlfn.AGGREGATE(3,5,$B$26:B84)</f>
        <v>59</v>
      </c>
      <c r="B84" s="51" t="s">
        <v>98</v>
      </c>
      <c r="C84" s="34" t="s">
        <v>99</v>
      </c>
      <c r="D84" s="35">
        <v>0.30336227999999998</v>
      </c>
      <c r="E84" s="36">
        <v>10</v>
      </c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75">
        <f t="shared" si="7"/>
        <v>0</v>
      </c>
      <c r="R84" s="73">
        <f t="shared" si="1"/>
        <v>0</v>
      </c>
    </row>
    <row r="85" spans="1:18" ht="15.75" x14ac:dyDescent="0.25">
      <c r="A85" s="33">
        <f>_xlfn.AGGREGATE(3,5,$B$26:B85)</f>
        <v>60</v>
      </c>
      <c r="B85" s="51" t="s">
        <v>100</v>
      </c>
      <c r="C85" s="34" t="s">
        <v>101</v>
      </c>
      <c r="D85" s="35">
        <v>0.48413970000000001</v>
      </c>
      <c r="E85" s="36">
        <v>5</v>
      </c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8"/>
      <c r="Q85" s="75">
        <f t="shared" si="7"/>
        <v>0</v>
      </c>
      <c r="R85" s="73">
        <f t="shared" si="1"/>
        <v>0</v>
      </c>
    </row>
    <row r="86" spans="1:18" ht="15.75" x14ac:dyDescent="0.25">
      <c r="A86" s="33">
        <f>_xlfn.AGGREGATE(3,5,$B$26:B86)</f>
        <v>61</v>
      </c>
      <c r="B86" s="51" t="s">
        <v>260</v>
      </c>
      <c r="C86" s="34" t="s">
        <v>102</v>
      </c>
      <c r="D86" s="35">
        <v>0.14599999999999999</v>
      </c>
      <c r="E86" s="36">
        <v>10</v>
      </c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8"/>
      <c r="Q86" s="75">
        <f t="shared" si="7"/>
        <v>0</v>
      </c>
      <c r="R86" s="73">
        <f t="shared" si="1"/>
        <v>0</v>
      </c>
    </row>
    <row r="87" spans="1:18" ht="15.75" x14ac:dyDescent="0.25">
      <c r="A87" s="33">
        <f>_xlfn.AGGREGATE(3,5,$B$26:B87)</f>
        <v>62</v>
      </c>
      <c r="B87" s="51" t="s">
        <v>12</v>
      </c>
      <c r="C87" s="34" t="s">
        <v>235</v>
      </c>
      <c r="D87" s="35">
        <v>0.48399999999999999</v>
      </c>
      <c r="E87" s="36">
        <v>5</v>
      </c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8"/>
      <c r="Q87" s="75">
        <f t="shared" si="7"/>
        <v>0</v>
      </c>
      <c r="R87" s="73">
        <f t="shared" si="1"/>
        <v>0</v>
      </c>
    </row>
    <row r="88" spans="1:18" ht="15.75" x14ac:dyDescent="0.25">
      <c r="A88" s="33">
        <f>_xlfn.AGGREGATE(3,5,$B$26:B88)</f>
        <v>63</v>
      </c>
      <c r="B88" s="51" t="s">
        <v>103</v>
      </c>
      <c r="C88" s="34" t="s">
        <v>104</v>
      </c>
      <c r="D88" s="35">
        <v>0.25800000000000001</v>
      </c>
      <c r="E88" s="36">
        <v>20</v>
      </c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8"/>
      <c r="Q88" s="75">
        <f t="shared" si="7"/>
        <v>0</v>
      </c>
      <c r="R88" s="73">
        <f t="shared" si="1"/>
        <v>0</v>
      </c>
    </row>
    <row r="89" spans="1:18" ht="15.75" x14ac:dyDescent="0.25">
      <c r="A89" s="33">
        <f>_xlfn.AGGREGATE(3,5,$B$26:B89)</f>
        <v>64</v>
      </c>
      <c r="B89" s="51" t="s">
        <v>105</v>
      </c>
      <c r="C89" s="50" t="s">
        <v>106</v>
      </c>
      <c r="D89" s="35">
        <v>0.502</v>
      </c>
      <c r="E89" s="36">
        <v>5</v>
      </c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8"/>
      <c r="Q89" s="75">
        <f t="shared" si="7"/>
        <v>0</v>
      </c>
      <c r="R89" s="73">
        <f t="shared" si="1"/>
        <v>0</v>
      </c>
    </row>
    <row r="90" spans="1:18" ht="15.75" x14ac:dyDescent="0.25">
      <c r="A90" s="33">
        <f>_xlfn.AGGREGATE(3,5,$B$26:B90)</f>
        <v>65</v>
      </c>
      <c r="B90" s="51" t="s">
        <v>207</v>
      </c>
      <c r="C90" s="34" t="s">
        <v>208</v>
      </c>
      <c r="D90" s="35">
        <v>0.28000000000000003</v>
      </c>
      <c r="E90" s="36">
        <v>10</v>
      </c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8"/>
      <c r="Q90" s="75">
        <f t="shared" si="7"/>
        <v>0</v>
      </c>
      <c r="R90" s="73">
        <f t="shared" ref="R90:R153" si="8">Q90*D90*6</f>
        <v>0</v>
      </c>
    </row>
    <row r="91" spans="1:18" ht="15.75" x14ac:dyDescent="0.25">
      <c r="A91" s="33">
        <f>_xlfn.AGGREGATE(3,5,$B$26:B91)</f>
        <v>66</v>
      </c>
      <c r="B91" s="51" t="s">
        <v>369</v>
      </c>
      <c r="C91" s="34" t="s">
        <v>370</v>
      </c>
      <c r="D91" s="35">
        <v>0.72</v>
      </c>
      <c r="E91" s="36">
        <v>5</v>
      </c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8"/>
      <c r="Q91" s="75">
        <f t="shared" si="7"/>
        <v>0</v>
      </c>
      <c r="R91" s="73">
        <f t="shared" si="8"/>
        <v>0</v>
      </c>
    </row>
    <row r="92" spans="1:18" ht="15.75" x14ac:dyDescent="0.25">
      <c r="A92" s="33">
        <f>_xlfn.AGGREGATE(3,5,$B$26:B92)</f>
        <v>67</v>
      </c>
      <c r="B92" s="51" t="s">
        <v>277</v>
      </c>
      <c r="C92" s="34" t="s">
        <v>153</v>
      </c>
      <c r="D92" s="35">
        <v>1.214</v>
      </c>
      <c r="E92" s="36">
        <v>4</v>
      </c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8"/>
      <c r="Q92" s="75">
        <f>SUM(F92:P92)*E92</f>
        <v>0</v>
      </c>
      <c r="R92" s="73">
        <f t="shared" si="8"/>
        <v>0</v>
      </c>
    </row>
    <row r="93" spans="1:18" ht="15.75" x14ac:dyDescent="0.25">
      <c r="A93" s="33">
        <f>_xlfn.AGGREGATE(3,5,$B$26:B93)</f>
        <v>68</v>
      </c>
      <c r="B93" s="51" t="s">
        <v>278</v>
      </c>
      <c r="C93" s="34" t="s">
        <v>279</v>
      </c>
      <c r="D93" s="35">
        <v>1.385</v>
      </c>
      <c r="E93" s="36">
        <v>2</v>
      </c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8"/>
      <c r="Q93" s="75">
        <f>SUM(F93:P93)*E93</f>
        <v>0</v>
      </c>
      <c r="R93" s="73">
        <f t="shared" si="8"/>
        <v>0</v>
      </c>
    </row>
    <row r="94" spans="1:18" ht="15.75" x14ac:dyDescent="0.25">
      <c r="A94" s="33">
        <f>_xlfn.AGGREGATE(3,5,$B$26:B94)</f>
        <v>69</v>
      </c>
      <c r="B94" s="51" t="s">
        <v>116</v>
      </c>
      <c r="C94" s="34" t="s">
        <v>117</v>
      </c>
      <c r="D94" s="35">
        <v>9.6000000000000002E-2</v>
      </c>
      <c r="E94" s="36">
        <v>10</v>
      </c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8"/>
      <c r="Q94" s="75">
        <f>SUM(F94:P94)*E94</f>
        <v>0</v>
      </c>
      <c r="R94" s="73">
        <f t="shared" si="8"/>
        <v>0</v>
      </c>
    </row>
    <row r="95" spans="1:18" ht="15.75" x14ac:dyDescent="0.25">
      <c r="A95" s="33">
        <f>_xlfn.AGGREGATE(3,5,$B$26:B95)</f>
        <v>70</v>
      </c>
      <c r="B95" s="51" t="s">
        <v>282</v>
      </c>
      <c r="C95" s="34" t="s">
        <v>283</v>
      </c>
      <c r="D95" s="35">
        <v>1.9630000000000001</v>
      </c>
      <c r="E95" s="36">
        <v>2</v>
      </c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8"/>
      <c r="Q95" s="75">
        <f>SUM(F95:P95)*E95</f>
        <v>0</v>
      </c>
      <c r="R95" s="73">
        <f t="shared" si="8"/>
        <v>0</v>
      </c>
    </row>
    <row r="96" spans="1:18" ht="15.75" x14ac:dyDescent="0.25">
      <c r="A96" s="33">
        <f>_xlfn.AGGREGATE(3,5,$B$26:B96)</f>
        <v>71</v>
      </c>
      <c r="B96" s="51" t="s">
        <v>284</v>
      </c>
      <c r="C96" s="34" t="s">
        <v>285</v>
      </c>
      <c r="D96" s="35">
        <v>1.5149999999999999</v>
      </c>
      <c r="E96" s="36">
        <v>2</v>
      </c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8"/>
      <c r="Q96" s="75">
        <f>SUM(F96:P96)*E96</f>
        <v>0</v>
      </c>
      <c r="R96" s="73">
        <f t="shared" si="8"/>
        <v>0</v>
      </c>
    </row>
    <row r="97" spans="1:23" ht="15.75" x14ac:dyDescent="0.25">
      <c r="A97" s="33">
        <f>_xlfn.AGGREGATE(3,5,$B$26:B97)</f>
        <v>72</v>
      </c>
      <c r="B97" s="51" t="s">
        <v>206</v>
      </c>
      <c r="C97" s="34" t="s">
        <v>120</v>
      </c>
      <c r="D97" s="35">
        <v>1.498</v>
      </c>
      <c r="E97" s="36">
        <v>2</v>
      </c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8"/>
      <c r="Q97" s="75">
        <f>SUM(F97:P97)</f>
        <v>0</v>
      </c>
      <c r="R97" s="73">
        <f t="shared" si="8"/>
        <v>0</v>
      </c>
    </row>
    <row r="98" spans="1:23" ht="15.75" x14ac:dyDescent="0.25">
      <c r="A98" s="33">
        <f>_xlfn.AGGREGATE(3,5,$B$26:B98)</f>
        <v>73</v>
      </c>
      <c r="B98" s="51" t="s">
        <v>280</v>
      </c>
      <c r="C98" s="34" t="s">
        <v>281</v>
      </c>
      <c r="D98" s="35">
        <v>1.1879999999999999</v>
      </c>
      <c r="E98" s="36">
        <v>4</v>
      </c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8"/>
      <c r="Q98" s="75">
        <f t="shared" ref="Q98:Q129" si="9">SUM(F98:P98)*E98</f>
        <v>0</v>
      </c>
      <c r="R98" s="73">
        <f t="shared" si="8"/>
        <v>0</v>
      </c>
    </row>
    <row r="99" spans="1:23" ht="15.75" x14ac:dyDescent="0.25">
      <c r="A99" s="33">
        <f>_xlfn.AGGREGATE(3,5,$B$26:B99)</f>
        <v>74</v>
      </c>
      <c r="B99" s="51" t="s">
        <v>121</v>
      </c>
      <c r="C99" s="34" t="s">
        <v>122</v>
      </c>
      <c r="D99" s="35">
        <v>1.0449999999999999</v>
      </c>
      <c r="E99" s="36">
        <v>4</v>
      </c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8"/>
      <c r="Q99" s="75">
        <f t="shared" si="9"/>
        <v>0</v>
      </c>
      <c r="R99" s="73">
        <f t="shared" si="8"/>
        <v>0</v>
      </c>
    </row>
    <row r="100" spans="1:23" ht="15.75" x14ac:dyDescent="0.25">
      <c r="A100" s="33">
        <f>_xlfn.AGGREGATE(3,5,$B$26:B100)</f>
        <v>75</v>
      </c>
      <c r="B100" s="51" t="s">
        <v>123</v>
      </c>
      <c r="C100" s="34" t="s">
        <v>145</v>
      </c>
      <c r="D100" s="35">
        <v>0.34</v>
      </c>
      <c r="E100" s="36">
        <v>10</v>
      </c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8"/>
      <c r="Q100" s="75">
        <f t="shared" si="9"/>
        <v>0</v>
      </c>
      <c r="R100" s="73">
        <f t="shared" si="8"/>
        <v>0</v>
      </c>
    </row>
    <row r="101" spans="1:23" ht="15.75" x14ac:dyDescent="0.25">
      <c r="A101" s="33">
        <f>_xlfn.AGGREGATE(3,5,$B$26:B101)</f>
        <v>76</v>
      </c>
      <c r="B101" s="51" t="s">
        <v>124</v>
      </c>
      <c r="C101" s="34" t="s">
        <v>125</v>
      </c>
      <c r="D101" s="35">
        <v>1.6919999999999999</v>
      </c>
      <c r="E101" s="36">
        <v>2</v>
      </c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8"/>
      <c r="Q101" s="75">
        <f t="shared" si="9"/>
        <v>0</v>
      </c>
      <c r="R101" s="73">
        <f t="shared" si="8"/>
        <v>0</v>
      </c>
    </row>
    <row r="102" spans="1:23" ht="15.75" x14ac:dyDescent="0.25">
      <c r="A102" s="33">
        <f>_xlfn.AGGREGATE(3,5,$B$26:B102)</f>
        <v>77</v>
      </c>
      <c r="B102" s="51" t="s">
        <v>118</v>
      </c>
      <c r="C102" s="34" t="s">
        <v>119</v>
      </c>
      <c r="D102" s="35">
        <v>2.1520000000000001</v>
      </c>
      <c r="E102" s="36">
        <v>2</v>
      </c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8"/>
      <c r="Q102" s="75">
        <f t="shared" si="9"/>
        <v>0</v>
      </c>
      <c r="R102" s="73">
        <f t="shared" si="8"/>
        <v>0</v>
      </c>
    </row>
    <row r="103" spans="1:23" ht="15" customHeight="1" x14ac:dyDescent="0.25">
      <c r="A103" s="33">
        <f>_xlfn.AGGREGATE(3,5,$B$26:B103)</f>
        <v>78</v>
      </c>
      <c r="B103" s="51" t="s">
        <v>184</v>
      </c>
      <c r="C103" s="34" t="s">
        <v>185</v>
      </c>
      <c r="D103" s="35">
        <v>2.3929999999999998</v>
      </c>
      <c r="E103" s="36">
        <v>1</v>
      </c>
      <c r="F103" s="37"/>
      <c r="G103" s="37"/>
      <c r="H103" s="132"/>
      <c r="I103" s="37"/>
      <c r="J103" s="37"/>
      <c r="K103" s="37"/>
      <c r="L103" s="37"/>
      <c r="M103" s="37"/>
      <c r="N103" s="37"/>
      <c r="O103" s="37"/>
      <c r="P103" s="38"/>
      <c r="Q103" s="75">
        <f t="shared" si="9"/>
        <v>0</v>
      </c>
      <c r="R103" s="73">
        <f t="shared" si="8"/>
        <v>0</v>
      </c>
      <c r="S103" s="77">
        <f>+F103*E103*D103*6</f>
        <v>0</v>
      </c>
      <c r="T103" s="76">
        <f>+G103*E103*D103*6</f>
        <v>0</v>
      </c>
      <c r="U103" s="76">
        <f>+H103*E103*D103*6</f>
        <v>0</v>
      </c>
      <c r="V103" s="76" t="e">
        <f>+#REF!*E103*D103*6</f>
        <v>#REF!</v>
      </c>
      <c r="W103" s="76">
        <f>+L103*E103*D103*6</f>
        <v>0</v>
      </c>
    </row>
    <row r="104" spans="1:23" ht="15.75" x14ac:dyDescent="0.25">
      <c r="A104" s="33">
        <f>_xlfn.AGGREGATE(3,5,$B$26:B104)</f>
        <v>79</v>
      </c>
      <c r="B104" s="51" t="s">
        <v>286</v>
      </c>
      <c r="C104" s="34" t="s">
        <v>287</v>
      </c>
      <c r="D104" s="35">
        <v>2.91</v>
      </c>
      <c r="E104" s="36">
        <v>1</v>
      </c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8"/>
      <c r="Q104" s="75">
        <f t="shared" si="9"/>
        <v>0</v>
      </c>
      <c r="R104" s="73">
        <f t="shared" si="8"/>
        <v>0</v>
      </c>
      <c r="S104" s="77">
        <f>+F104*E104*D104*6</f>
        <v>0</v>
      </c>
      <c r="T104" s="76">
        <f>+G104*E104*D104*6</f>
        <v>0</v>
      </c>
      <c r="U104" s="76">
        <f>+H104*E104*D104*6</f>
        <v>0</v>
      </c>
      <c r="V104" s="76" t="e">
        <f>+#REF!*E104*D104*6</f>
        <v>#REF!</v>
      </c>
      <c r="W104" s="76">
        <f>+L104*E104*D104*6</f>
        <v>0</v>
      </c>
    </row>
    <row r="105" spans="1:23" ht="15.75" x14ac:dyDescent="0.25">
      <c r="A105" s="33">
        <f>_xlfn.AGGREGATE(3,5,$B$26:B105)</f>
        <v>80</v>
      </c>
      <c r="B105" s="51" t="s">
        <v>288</v>
      </c>
      <c r="C105" s="34" t="s">
        <v>289</v>
      </c>
      <c r="D105" s="35">
        <v>0.373</v>
      </c>
      <c r="E105" s="36">
        <v>10</v>
      </c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8"/>
      <c r="Q105" s="75">
        <f t="shared" si="9"/>
        <v>0</v>
      </c>
      <c r="R105" s="73">
        <f t="shared" si="8"/>
        <v>0</v>
      </c>
    </row>
    <row r="106" spans="1:23" ht="15.75" x14ac:dyDescent="0.25">
      <c r="A106" s="33">
        <f>_xlfn.AGGREGATE(3,5,$B$26:B106)</f>
        <v>81</v>
      </c>
      <c r="B106" s="51" t="s">
        <v>257</v>
      </c>
      <c r="C106" s="34" t="s">
        <v>258</v>
      </c>
      <c r="D106" s="35">
        <v>0.26600000000000001</v>
      </c>
      <c r="E106" s="36">
        <v>10</v>
      </c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8"/>
      <c r="Q106" s="75">
        <f t="shared" si="9"/>
        <v>0</v>
      </c>
      <c r="R106" s="73">
        <f t="shared" si="8"/>
        <v>0</v>
      </c>
    </row>
    <row r="107" spans="1:23" ht="15.75" x14ac:dyDescent="0.25">
      <c r="A107" s="33">
        <f>_xlfn.AGGREGATE(3,5,$B$26:B107)</f>
        <v>82</v>
      </c>
      <c r="B107" s="51" t="s">
        <v>162</v>
      </c>
      <c r="C107" s="34" t="s">
        <v>290</v>
      </c>
      <c r="D107" s="35">
        <v>0.214</v>
      </c>
      <c r="E107" s="36">
        <v>10</v>
      </c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8"/>
      <c r="Q107" s="75">
        <f t="shared" si="9"/>
        <v>0</v>
      </c>
      <c r="R107" s="73">
        <f t="shared" si="8"/>
        <v>0</v>
      </c>
    </row>
    <row r="108" spans="1:23" ht="15.75" x14ac:dyDescent="0.25">
      <c r="A108" s="33">
        <f>_xlfn.AGGREGATE(3,5,$B$26:B108)</f>
        <v>83</v>
      </c>
      <c r="B108" s="51" t="s">
        <v>200</v>
      </c>
      <c r="C108" s="34" t="s">
        <v>291</v>
      </c>
      <c r="D108" s="35">
        <v>0.23699999999999999</v>
      </c>
      <c r="E108" s="36">
        <v>10</v>
      </c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8"/>
      <c r="Q108" s="75">
        <f t="shared" si="9"/>
        <v>0</v>
      </c>
      <c r="R108" s="73">
        <f t="shared" si="8"/>
        <v>0</v>
      </c>
    </row>
    <row r="109" spans="1:23" ht="15.75" x14ac:dyDescent="0.25">
      <c r="A109" s="33">
        <f>_xlfn.AGGREGATE(3,5,$B$26:B109)</f>
        <v>84</v>
      </c>
      <c r="B109" s="51" t="s">
        <v>228</v>
      </c>
      <c r="C109" s="34" t="s">
        <v>290</v>
      </c>
      <c r="D109" s="35">
        <v>0.21099999999999999</v>
      </c>
      <c r="E109" s="36">
        <v>10</v>
      </c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8"/>
      <c r="Q109" s="75">
        <f t="shared" si="9"/>
        <v>0</v>
      </c>
      <c r="R109" s="73">
        <f t="shared" si="8"/>
        <v>0</v>
      </c>
    </row>
    <row r="110" spans="1:23" ht="15.75" x14ac:dyDescent="0.25">
      <c r="A110" s="33">
        <f>_xlfn.AGGREGATE(3,5,$B$26:B110)</f>
        <v>85</v>
      </c>
      <c r="B110" s="51" t="s">
        <v>146</v>
      </c>
      <c r="C110" s="34" t="s">
        <v>147</v>
      </c>
      <c r="D110" s="35">
        <v>1.3991400000000003</v>
      </c>
      <c r="E110" s="36">
        <v>2</v>
      </c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8"/>
      <c r="Q110" s="75">
        <f t="shared" si="9"/>
        <v>0</v>
      </c>
      <c r="R110" s="73">
        <f t="shared" si="8"/>
        <v>0</v>
      </c>
    </row>
    <row r="111" spans="1:23" ht="15.75" x14ac:dyDescent="0.25">
      <c r="A111" s="33">
        <f>_xlfn.AGGREGATE(3,5,$B$26:B111)</f>
        <v>86</v>
      </c>
      <c r="B111" s="51" t="s">
        <v>148</v>
      </c>
      <c r="C111" s="34" t="s">
        <v>149</v>
      </c>
      <c r="D111" s="35">
        <v>1.3991400000000003</v>
      </c>
      <c r="E111" s="36">
        <v>2</v>
      </c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8"/>
      <c r="Q111" s="75">
        <f t="shared" si="9"/>
        <v>0</v>
      </c>
      <c r="R111" s="73">
        <f t="shared" si="8"/>
        <v>0</v>
      </c>
    </row>
    <row r="112" spans="1:23" ht="15.75" x14ac:dyDescent="0.25">
      <c r="A112" s="33">
        <f>_xlfn.AGGREGATE(3,5,$B$26:B112)</f>
        <v>87</v>
      </c>
      <c r="B112" s="51" t="s">
        <v>150</v>
      </c>
      <c r="C112" s="34" t="s">
        <v>151</v>
      </c>
      <c r="D112" s="35">
        <v>0.71352899999999997</v>
      </c>
      <c r="E112" s="36">
        <v>4</v>
      </c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8"/>
      <c r="Q112" s="75">
        <f t="shared" si="9"/>
        <v>0</v>
      </c>
      <c r="R112" s="73">
        <f t="shared" si="8"/>
        <v>0</v>
      </c>
    </row>
    <row r="113" spans="1:23 16344:16344" ht="15.75" x14ac:dyDescent="0.25">
      <c r="A113" s="33">
        <f>_xlfn.AGGREGATE(3,5,$B$26:B113)</f>
        <v>88</v>
      </c>
      <c r="B113" s="51" t="s">
        <v>152</v>
      </c>
      <c r="C113" s="34" t="s">
        <v>153</v>
      </c>
      <c r="D113" s="35">
        <v>0.65348099999999998</v>
      </c>
      <c r="E113" s="36">
        <v>4</v>
      </c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8"/>
      <c r="Q113" s="75">
        <f t="shared" si="9"/>
        <v>0</v>
      </c>
      <c r="R113" s="73">
        <f t="shared" si="8"/>
        <v>0</v>
      </c>
    </row>
    <row r="114" spans="1:23 16344:16344" ht="15.75" x14ac:dyDescent="0.25">
      <c r="A114" s="33">
        <f>_xlfn.AGGREGATE(3,5,$B$26:B114)</f>
        <v>89</v>
      </c>
      <c r="B114" s="51" t="s">
        <v>154</v>
      </c>
      <c r="C114" s="34" t="s">
        <v>155</v>
      </c>
      <c r="D114" s="35">
        <v>0.43964100000000006</v>
      </c>
      <c r="E114" s="36">
        <v>6</v>
      </c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8"/>
      <c r="Q114" s="75">
        <f t="shared" si="9"/>
        <v>0</v>
      </c>
      <c r="R114" s="73">
        <f t="shared" si="8"/>
        <v>0</v>
      </c>
      <c r="XDP114" s="106">
        <f>SUM(Q114:XDO114)</f>
        <v>0</v>
      </c>
    </row>
    <row r="115" spans="1:23 16344:16344" ht="15.75" x14ac:dyDescent="0.25">
      <c r="A115" s="33">
        <f>_xlfn.AGGREGATE(3,5,$B$26:B115)</f>
        <v>90</v>
      </c>
      <c r="B115" s="51" t="s">
        <v>156</v>
      </c>
      <c r="C115" s="34" t="s">
        <v>157</v>
      </c>
      <c r="D115" s="35">
        <v>0.2785455</v>
      </c>
      <c r="E115" s="36">
        <v>10</v>
      </c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8"/>
      <c r="Q115" s="75">
        <f t="shared" si="9"/>
        <v>0</v>
      </c>
      <c r="R115" s="73">
        <f t="shared" si="8"/>
        <v>0</v>
      </c>
      <c r="XDP115" s="106">
        <f>SUM(Q115:XDO115)</f>
        <v>0</v>
      </c>
    </row>
    <row r="116" spans="1:23 16344:16344" ht="15.75" x14ac:dyDescent="0.25">
      <c r="A116" s="33">
        <f>_xlfn.AGGREGATE(3,5,$B$26:B116)</f>
        <v>91</v>
      </c>
      <c r="B116" s="51" t="s">
        <v>158</v>
      </c>
      <c r="C116" s="34" t="s">
        <v>159</v>
      </c>
      <c r="D116" s="35">
        <v>0.19560419999999998</v>
      </c>
      <c r="E116" s="36">
        <v>10</v>
      </c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8"/>
      <c r="Q116" s="75">
        <f t="shared" si="9"/>
        <v>0</v>
      </c>
      <c r="R116" s="73">
        <f t="shared" si="8"/>
        <v>0</v>
      </c>
      <c r="XDP116" s="106">
        <f>SUM(XDP114:XFD115)</f>
        <v>0</v>
      </c>
    </row>
    <row r="117" spans="1:23 16344:16344" ht="15.75" x14ac:dyDescent="0.25">
      <c r="A117" s="33">
        <f>_xlfn.AGGREGATE(3,5,$B$26:B117)</f>
        <v>92</v>
      </c>
      <c r="B117" s="51" t="s">
        <v>160</v>
      </c>
      <c r="C117" s="34" t="s">
        <v>161</v>
      </c>
      <c r="D117" s="35">
        <v>1.0309140000000001</v>
      </c>
      <c r="E117" s="36">
        <v>2</v>
      </c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8"/>
      <c r="Q117" s="75">
        <f t="shared" si="9"/>
        <v>0</v>
      </c>
      <c r="R117" s="73">
        <f t="shared" si="8"/>
        <v>0</v>
      </c>
      <c r="XDP117" s="106">
        <f>SUM(Q117:XDO117)</f>
        <v>0</v>
      </c>
    </row>
    <row r="118" spans="1:23 16344:16344" ht="15.75" x14ac:dyDescent="0.25">
      <c r="A118" s="33">
        <f>_xlfn.AGGREGATE(3,5,$B$26:B118)</f>
        <v>93</v>
      </c>
      <c r="B118" s="51" t="s">
        <v>162</v>
      </c>
      <c r="C118" s="34" t="s">
        <v>295</v>
      </c>
      <c r="D118" s="35">
        <v>0.21432599999999999</v>
      </c>
      <c r="E118" s="36">
        <v>10</v>
      </c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8"/>
      <c r="Q118" s="75">
        <f t="shared" si="9"/>
        <v>0</v>
      </c>
      <c r="R118" s="73">
        <f t="shared" si="8"/>
        <v>0</v>
      </c>
      <c r="XDP118" s="106">
        <f>SUM(Q118:XDO118)</f>
        <v>0</v>
      </c>
    </row>
    <row r="119" spans="1:23 16344:16344" ht="15.75" x14ac:dyDescent="0.25">
      <c r="A119" s="33">
        <f>_xlfn.AGGREGATE(3,5,$B$26:B119)</f>
        <v>94</v>
      </c>
      <c r="B119" s="51" t="s">
        <v>163</v>
      </c>
      <c r="C119" s="34" t="s">
        <v>164</v>
      </c>
      <c r="D119" s="35">
        <v>0.17995500000000003</v>
      </c>
      <c r="E119" s="36">
        <v>20</v>
      </c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8"/>
      <c r="Q119" s="75">
        <f t="shared" si="9"/>
        <v>0</v>
      </c>
      <c r="R119" s="73">
        <f t="shared" si="8"/>
        <v>0</v>
      </c>
      <c r="XDP119" s="106">
        <f>SUM(Q119:XDO119)</f>
        <v>0</v>
      </c>
    </row>
    <row r="120" spans="1:23 16344:16344" ht="15.75" x14ac:dyDescent="0.25">
      <c r="A120" s="33">
        <f>_xlfn.AGGREGATE(3,5,$B$26:B120)</f>
        <v>95</v>
      </c>
      <c r="B120" s="51" t="s">
        <v>111</v>
      </c>
      <c r="C120" s="34" t="s">
        <v>112</v>
      </c>
      <c r="D120" s="35">
        <v>1.583307</v>
      </c>
      <c r="E120" s="36">
        <v>2</v>
      </c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8"/>
      <c r="Q120" s="75">
        <f t="shared" si="9"/>
        <v>0</v>
      </c>
      <c r="R120" s="73">
        <f t="shared" si="8"/>
        <v>0</v>
      </c>
      <c r="XDP120" s="106">
        <f>SUM(XDP119:XFD119)</f>
        <v>0</v>
      </c>
    </row>
    <row r="121" spans="1:23 16344:16344" ht="15.75" x14ac:dyDescent="0.25">
      <c r="A121" s="33">
        <f>_xlfn.AGGREGATE(3,5,$B$26:B121)</f>
        <v>96</v>
      </c>
      <c r="B121" s="51" t="s">
        <v>165</v>
      </c>
      <c r="C121" s="34" t="s">
        <v>166</v>
      </c>
      <c r="D121" s="35">
        <v>0.48699999999999999</v>
      </c>
      <c r="E121" s="36">
        <v>10</v>
      </c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8"/>
      <c r="Q121" s="75">
        <f t="shared" si="9"/>
        <v>0</v>
      </c>
      <c r="R121" s="73">
        <f t="shared" si="8"/>
        <v>0</v>
      </c>
    </row>
    <row r="122" spans="1:23 16344:16344" ht="15.75" x14ac:dyDescent="0.25">
      <c r="A122" s="33">
        <f>_xlfn.AGGREGATE(3,5,$B$26:B122)</f>
        <v>97</v>
      </c>
      <c r="B122" s="51" t="s">
        <v>113</v>
      </c>
      <c r="C122" s="34" t="s">
        <v>114</v>
      </c>
      <c r="D122" s="35">
        <v>0.47</v>
      </c>
      <c r="E122" s="36">
        <v>10</v>
      </c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8"/>
      <c r="Q122" s="75">
        <f t="shared" si="9"/>
        <v>0</v>
      </c>
      <c r="R122" s="73">
        <f t="shared" si="8"/>
        <v>0</v>
      </c>
    </row>
    <row r="123" spans="1:23 16344:16344" ht="15.75" x14ac:dyDescent="0.25">
      <c r="A123" s="33">
        <f>_xlfn.AGGREGATE(3,5,$B$26:B123)</f>
        <v>98</v>
      </c>
      <c r="B123" s="78" t="s">
        <v>392</v>
      </c>
      <c r="C123" s="79" t="s">
        <v>227</v>
      </c>
      <c r="D123" s="80">
        <v>1.5529999999999999</v>
      </c>
      <c r="E123" s="81">
        <v>2</v>
      </c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8"/>
      <c r="Q123" s="75">
        <f t="shared" si="9"/>
        <v>0</v>
      </c>
      <c r="R123" s="73">
        <f t="shared" si="8"/>
        <v>0</v>
      </c>
      <c r="S123" s="77">
        <f>+F123*E123*D123*6</f>
        <v>0</v>
      </c>
      <c r="T123" s="76">
        <f>+G123*E123*D123*6</f>
        <v>0</v>
      </c>
      <c r="U123" s="76">
        <f>+H123*E123*D123*6</f>
        <v>0</v>
      </c>
      <c r="V123" s="76" t="e">
        <f>+#REF!*E123*D123*6</f>
        <v>#REF!</v>
      </c>
      <c r="W123" s="76">
        <f>+L123*E123*D123*6</f>
        <v>0</v>
      </c>
    </row>
    <row r="124" spans="1:23 16344:16344" ht="15.75" x14ac:dyDescent="0.25">
      <c r="A124" s="33">
        <f>_xlfn.AGGREGATE(3,5,$B$26:B124)</f>
        <v>99</v>
      </c>
      <c r="B124" s="82" t="s">
        <v>187</v>
      </c>
      <c r="C124" s="79" t="s">
        <v>188</v>
      </c>
      <c r="D124" s="79">
        <v>1.25</v>
      </c>
      <c r="E124" s="83">
        <v>2</v>
      </c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8"/>
      <c r="Q124" s="75">
        <f t="shared" si="9"/>
        <v>0</v>
      </c>
      <c r="R124" s="73">
        <f t="shared" si="8"/>
        <v>0</v>
      </c>
    </row>
    <row r="125" spans="1:23 16344:16344" ht="15.75" x14ac:dyDescent="0.25">
      <c r="A125" s="33">
        <f>_xlfn.AGGREGATE(3,5,$B$26:B125)</f>
        <v>100</v>
      </c>
      <c r="B125" s="82" t="s">
        <v>202</v>
      </c>
      <c r="C125" s="79" t="s">
        <v>203</v>
      </c>
      <c r="D125" s="79">
        <v>0.94799999999999995</v>
      </c>
      <c r="E125" s="83">
        <v>4</v>
      </c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8"/>
      <c r="Q125" s="75">
        <f t="shared" si="9"/>
        <v>0</v>
      </c>
      <c r="R125" s="73">
        <f t="shared" si="8"/>
        <v>0</v>
      </c>
    </row>
    <row r="126" spans="1:23 16344:16344" ht="15.75" x14ac:dyDescent="0.25">
      <c r="A126" s="33">
        <f>_xlfn.AGGREGATE(3,5,$B$26:B126)</f>
        <v>101</v>
      </c>
      <c r="B126" s="82" t="s">
        <v>189</v>
      </c>
      <c r="C126" s="79" t="s">
        <v>190</v>
      </c>
      <c r="D126" s="79">
        <v>1.4690000000000001</v>
      </c>
      <c r="E126" s="83">
        <v>2</v>
      </c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8"/>
      <c r="Q126" s="75">
        <f t="shared" si="9"/>
        <v>0</v>
      </c>
      <c r="R126" s="73">
        <f t="shared" si="8"/>
        <v>0</v>
      </c>
    </row>
    <row r="127" spans="1:23 16344:16344" ht="15.75" x14ac:dyDescent="0.25">
      <c r="A127" s="33">
        <f>_xlfn.AGGREGATE(3,5,$B$26:B127)</f>
        <v>102</v>
      </c>
      <c r="B127" s="82" t="s">
        <v>253</v>
      </c>
      <c r="C127" s="79" t="s">
        <v>190</v>
      </c>
      <c r="D127" s="79">
        <v>1.4690000000000001</v>
      </c>
      <c r="E127" s="83">
        <v>2</v>
      </c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8"/>
      <c r="Q127" s="75">
        <f t="shared" si="9"/>
        <v>0</v>
      </c>
      <c r="R127" s="73">
        <f t="shared" si="8"/>
        <v>0</v>
      </c>
    </row>
    <row r="128" spans="1:23 16344:16344" ht="15.75" x14ac:dyDescent="0.25">
      <c r="A128" s="33">
        <f>_xlfn.AGGREGATE(3,5,$B$26:B128)</f>
        <v>103</v>
      </c>
      <c r="B128" s="82" t="s">
        <v>269</v>
      </c>
      <c r="C128" s="79" t="s">
        <v>191</v>
      </c>
      <c r="D128" s="79">
        <v>1.127</v>
      </c>
      <c r="E128" s="83">
        <v>2</v>
      </c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8"/>
      <c r="Q128" s="75">
        <f t="shared" si="9"/>
        <v>0</v>
      </c>
      <c r="R128" s="73">
        <f t="shared" si="8"/>
        <v>0</v>
      </c>
    </row>
    <row r="129" spans="1:23 16344:16344" ht="15.75" x14ac:dyDescent="0.25">
      <c r="A129" s="33">
        <f>_xlfn.AGGREGATE(3,5,$B$26:B129)</f>
        <v>104</v>
      </c>
      <c r="B129" s="82" t="s">
        <v>226</v>
      </c>
      <c r="C129" s="79" t="s">
        <v>191</v>
      </c>
      <c r="D129" s="79">
        <v>1.127</v>
      </c>
      <c r="E129" s="83">
        <v>4</v>
      </c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8"/>
      <c r="Q129" s="75">
        <f t="shared" si="9"/>
        <v>0</v>
      </c>
      <c r="R129" s="73">
        <f t="shared" si="8"/>
        <v>0</v>
      </c>
    </row>
    <row r="130" spans="1:23 16344:16344" ht="15.75" x14ac:dyDescent="0.25">
      <c r="A130" s="33">
        <f>_xlfn.AGGREGATE(3,5,$B$26:B130)</f>
        <v>105</v>
      </c>
      <c r="B130" s="82" t="s">
        <v>292</v>
      </c>
      <c r="C130" s="79" t="s">
        <v>293</v>
      </c>
      <c r="D130" s="79">
        <v>1.8169999999999999</v>
      </c>
      <c r="E130" s="83">
        <v>1</v>
      </c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8"/>
      <c r="Q130" s="75">
        <f t="shared" ref="Q130:Q161" si="10">SUM(F130:P130)*E130</f>
        <v>0</v>
      </c>
      <c r="R130" s="73">
        <f t="shared" si="8"/>
        <v>0</v>
      </c>
      <c r="S130" s="77">
        <f>+F130*E130*D130*6</f>
        <v>0</v>
      </c>
      <c r="T130" s="76">
        <f>+G130*E130*D130*6</f>
        <v>0</v>
      </c>
      <c r="U130" s="76">
        <f>+H130*E130*D130*6</f>
        <v>0</v>
      </c>
      <c r="V130" s="76" t="e">
        <f>+#REF!*E130*D130*6</f>
        <v>#REF!</v>
      </c>
      <c r="W130" s="76">
        <f>+L130*E130*D130*6</f>
        <v>0</v>
      </c>
    </row>
    <row r="131" spans="1:23 16344:16344" ht="15.75" x14ac:dyDescent="0.25">
      <c r="A131" s="33">
        <f>_xlfn.AGGREGATE(3,5,$B$26:B131)</f>
        <v>106</v>
      </c>
      <c r="B131" s="82" t="s">
        <v>192</v>
      </c>
      <c r="C131" s="79" t="s">
        <v>193</v>
      </c>
      <c r="D131" s="79">
        <v>0.89900000000000002</v>
      </c>
      <c r="E131" s="83">
        <v>4</v>
      </c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8"/>
      <c r="Q131" s="75">
        <f t="shared" si="10"/>
        <v>0</v>
      </c>
      <c r="R131" s="73">
        <f t="shared" si="8"/>
        <v>0</v>
      </c>
    </row>
    <row r="132" spans="1:23 16344:16344" ht="15.75" x14ac:dyDescent="0.25">
      <c r="A132" s="33">
        <f>_xlfn.AGGREGATE(3,5,$B$26:B132)</f>
        <v>107</v>
      </c>
      <c r="B132" s="82" t="s">
        <v>198</v>
      </c>
      <c r="C132" s="79" t="s">
        <v>199</v>
      </c>
      <c r="D132" s="79">
        <v>1.008</v>
      </c>
      <c r="E132" s="83">
        <v>2</v>
      </c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8"/>
      <c r="Q132" s="75">
        <f t="shared" si="10"/>
        <v>0</v>
      </c>
      <c r="R132" s="73">
        <f t="shared" si="8"/>
        <v>0</v>
      </c>
    </row>
    <row r="133" spans="1:23 16344:16344" ht="15.75" x14ac:dyDescent="0.25">
      <c r="A133" s="33">
        <f>_xlfn.AGGREGATE(3,5,$B$26:B133)</f>
        <v>108</v>
      </c>
      <c r="B133" s="82" t="s">
        <v>194</v>
      </c>
      <c r="C133" s="79" t="s">
        <v>195</v>
      </c>
      <c r="D133" s="79">
        <v>0.45800000000000002</v>
      </c>
      <c r="E133" s="83">
        <v>10</v>
      </c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8"/>
      <c r="Q133" s="75">
        <f t="shared" si="10"/>
        <v>0</v>
      </c>
      <c r="R133" s="73">
        <f t="shared" si="8"/>
        <v>0</v>
      </c>
      <c r="S133" s="77">
        <f>+F133*E133*D133*6</f>
        <v>0</v>
      </c>
      <c r="T133" s="76">
        <f>+G133*E133*D133*6</f>
        <v>0</v>
      </c>
      <c r="U133" s="76">
        <f>+R133</f>
        <v>0</v>
      </c>
      <c r="V133" s="76" t="e">
        <f>+#REF!*E133*D133*6</f>
        <v>#REF!</v>
      </c>
      <c r="W133" s="76">
        <f>+L133*E133*D133*6</f>
        <v>0</v>
      </c>
    </row>
    <row r="134" spans="1:23 16344:16344" ht="15.75" x14ac:dyDescent="0.25">
      <c r="A134" s="33">
        <f>_xlfn.AGGREGATE(3,5,$B$26:B134)</f>
        <v>109</v>
      </c>
      <c r="B134" s="82" t="s">
        <v>196</v>
      </c>
      <c r="C134" s="79" t="s">
        <v>197</v>
      </c>
      <c r="D134" s="79">
        <v>0.75</v>
      </c>
      <c r="E134" s="83">
        <v>4</v>
      </c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8"/>
      <c r="Q134" s="75">
        <f t="shared" si="10"/>
        <v>0</v>
      </c>
      <c r="R134" s="73">
        <f t="shared" si="8"/>
        <v>0</v>
      </c>
    </row>
    <row r="135" spans="1:23 16344:16344" ht="15.75" x14ac:dyDescent="0.25">
      <c r="A135" s="33">
        <f>_xlfn.AGGREGATE(3,5,$B$26:B135)</f>
        <v>110</v>
      </c>
      <c r="B135" s="78" t="s">
        <v>200</v>
      </c>
      <c r="C135" s="79" t="s">
        <v>201</v>
      </c>
      <c r="D135" s="80">
        <v>0.251</v>
      </c>
      <c r="E135" s="81">
        <v>10</v>
      </c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8"/>
      <c r="Q135" s="75">
        <f t="shared" si="10"/>
        <v>0</v>
      </c>
      <c r="R135" s="73">
        <f t="shared" si="8"/>
        <v>0</v>
      </c>
    </row>
    <row r="136" spans="1:23 16344:16344" ht="15.75" x14ac:dyDescent="0.25">
      <c r="A136" s="33">
        <f>_xlfn.AGGREGATE(3,5,$B$26:B136)</f>
        <v>111</v>
      </c>
      <c r="B136" s="78" t="s">
        <v>228</v>
      </c>
      <c r="C136" s="79" t="s">
        <v>229</v>
      </c>
      <c r="D136" s="80">
        <v>0.251</v>
      </c>
      <c r="E136" s="81">
        <v>10</v>
      </c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8"/>
      <c r="Q136" s="75">
        <f t="shared" si="10"/>
        <v>0</v>
      </c>
      <c r="R136" s="73">
        <f t="shared" si="8"/>
        <v>0</v>
      </c>
    </row>
    <row r="137" spans="1:23 16344:16344" ht="15.75" x14ac:dyDescent="0.25">
      <c r="A137" s="33">
        <f>_xlfn.AGGREGATE(3,5,$B$26:B137)</f>
        <v>112</v>
      </c>
      <c r="B137" s="78" t="s">
        <v>257</v>
      </c>
      <c r="C137" s="79" t="s">
        <v>258</v>
      </c>
      <c r="D137" s="80">
        <v>0.26600000000000001</v>
      </c>
      <c r="E137" s="81">
        <v>10</v>
      </c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8"/>
      <c r="Q137" s="75">
        <f t="shared" si="10"/>
        <v>0</v>
      </c>
      <c r="R137" s="73">
        <f t="shared" si="8"/>
        <v>0</v>
      </c>
    </row>
    <row r="138" spans="1:23 16344:16344" ht="15.75" x14ac:dyDescent="0.25">
      <c r="A138" s="33">
        <f>_xlfn.AGGREGATE(3,5,$B$26:B138)</f>
        <v>113</v>
      </c>
      <c r="B138" s="51" t="s">
        <v>162</v>
      </c>
      <c r="C138" s="34" t="s">
        <v>294</v>
      </c>
      <c r="D138" s="35">
        <v>0.21432599999999999</v>
      </c>
      <c r="E138" s="36">
        <v>10</v>
      </c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8"/>
      <c r="Q138" s="75">
        <f t="shared" si="10"/>
        <v>0</v>
      </c>
      <c r="R138" s="73">
        <f t="shared" si="8"/>
        <v>0</v>
      </c>
      <c r="XDP138" s="106">
        <f>SUM(Q138:XDO138)</f>
        <v>0</v>
      </c>
    </row>
    <row r="139" spans="1:23 16344:16344" ht="15.75" x14ac:dyDescent="0.25">
      <c r="A139" s="33">
        <f>_xlfn.AGGREGATE(3,5,$B$26:B139)</f>
        <v>114</v>
      </c>
      <c r="B139" s="51" t="s">
        <v>126</v>
      </c>
      <c r="C139" s="34" t="s">
        <v>127</v>
      </c>
      <c r="D139" s="35">
        <v>1.391</v>
      </c>
      <c r="E139" s="36">
        <v>2</v>
      </c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8"/>
      <c r="Q139" s="75">
        <f t="shared" si="10"/>
        <v>0</v>
      </c>
      <c r="R139" s="73">
        <f t="shared" si="8"/>
        <v>0</v>
      </c>
    </row>
    <row r="140" spans="1:23 16344:16344" ht="15.75" x14ac:dyDescent="0.25">
      <c r="A140" s="33">
        <f>_xlfn.AGGREGATE(3,5,$B$26:B140)</f>
        <v>115</v>
      </c>
      <c r="B140" s="51" t="s">
        <v>266</v>
      </c>
      <c r="C140" s="34" t="s">
        <v>391</v>
      </c>
      <c r="D140" s="35">
        <v>0.63700000000000001</v>
      </c>
      <c r="E140" s="36">
        <v>5</v>
      </c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8"/>
      <c r="Q140" s="75">
        <f t="shared" si="10"/>
        <v>0</v>
      </c>
      <c r="R140" s="73">
        <f t="shared" si="8"/>
        <v>0</v>
      </c>
      <c r="S140" s="76">
        <f>+F140*E140*D140*6</f>
        <v>0</v>
      </c>
      <c r="T140" s="77">
        <f>+G140*E140*D140*6</f>
        <v>0</v>
      </c>
      <c r="U140" s="76" t="e">
        <f>+#REF!*E140*D140*6</f>
        <v>#REF!</v>
      </c>
      <c r="V140" s="76">
        <f>+L140*D140*E140*6</f>
        <v>0</v>
      </c>
    </row>
    <row r="141" spans="1:23 16344:16344" ht="15.75" x14ac:dyDescent="0.25">
      <c r="A141" s="33">
        <f>_xlfn.AGGREGATE(3,5,$B$26:B141)</f>
        <v>116</v>
      </c>
      <c r="B141" s="51" t="s">
        <v>128</v>
      </c>
      <c r="C141" s="50" t="s">
        <v>400</v>
      </c>
      <c r="D141" s="35">
        <v>1.4630000000000001</v>
      </c>
      <c r="E141" s="36">
        <v>2</v>
      </c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8"/>
      <c r="Q141" s="75">
        <f t="shared" si="10"/>
        <v>0</v>
      </c>
      <c r="R141" s="73">
        <f t="shared" si="8"/>
        <v>0</v>
      </c>
      <c r="S141" s="77">
        <f>+F141*E141*D141*6</f>
        <v>0</v>
      </c>
      <c r="T141" s="76">
        <f>+G141*E141*D141*6</f>
        <v>0</v>
      </c>
      <c r="U141" s="76">
        <f>+H141*E141*D141*6</f>
        <v>0</v>
      </c>
      <c r="V141" s="76" t="e">
        <f>+#REF!*E141*D141*6</f>
        <v>#REF!</v>
      </c>
      <c r="W141" s="76">
        <f>+L141*E141*D141*6</f>
        <v>0</v>
      </c>
    </row>
    <row r="142" spans="1:23 16344:16344" ht="15.75" x14ac:dyDescent="0.25">
      <c r="A142" s="33">
        <f>_xlfn.AGGREGATE(3,5,$B$26:B142)</f>
        <v>117</v>
      </c>
      <c r="B142" s="51" t="s">
        <v>129</v>
      </c>
      <c r="C142" s="34" t="s">
        <v>130</v>
      </c>
      <c r="D142" s="35">
        <v>1.2749999999999999</v>
      </c>
      <c r="E142" s="36">
        <v>2</v>
      </c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8"/>
      <c r="Q142" s="75">
        <f t="shared" si="10"/>
        <v>0</v>
      </c>
      <c r="R142" s="73">
        <f t="shared" si="8"/>
        <v>0</v>
      </c>
      <c r="S142" s="77">
        <f>+F142*E142*D142*6</f>
        <v>0</v>
      </c>
      <c r="T142" s="76">
        <f>+G142*E142*D142*6</f>
        <v>0</v>
      </c>
      <c r="U142" s="76">
        <f>+H142*E142*D142*6</f>
        <v>0</v>
      </c>
      <c r="V142" s="76" t="e">
        <f>+#REF!*E142*D142*6</f>
        <v>#REF!</v>
      </c>
      <c r="W142" s="76">
        <f>+L142*E142*D142*6</f>
        <v>0</v>
      </c>
    </row>
    <row r="143" spans="1:23 16344:16344" ht="15.75" x14ac:dyDescent="0.25">
      <c r="A143" s="33">
        <f>_xlfn.AGGREGATE(3,5,$B$26:B143)</f>
        <v>118</v>
      </c>
      <c r="B143" s="51" t="s">
        <v>131</v>
      </c>
      <c r="C143" s="34" t="s">
        <v>132</v>
      </c>
      <c r="D143" s="35">
        <v>0.374</v>
      </c>
      <c r="E143" s="36">
        <v>10</v>
      </c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8"/>
      <c r="Q143" s="75">
        <f t="shared" si="10"/>
        <v>0</v>
      </c>
      <c r="R143" s="73">
        <f t="shared" si="8"/>
        <v>0</v>
      </c>
    </row>
    <row r="144" spans="1:23 16344:16344" ht="15.75" x14ac:dyDescent="0.25">
      <c r="A144" s="33">
        <f>_xlfn.AGGREGATE(3,5,$B$26:B144)</f>
        <v>119</v>
      </c>
      <c r="B144" s="51" t="s">
        <v>139</v>
      </c>
      <c r="C144" s="34" t="s">
        <v>140</v>
      </c>
      <c r="D144" s="35">
        <v>0.42399999999999999</v>
      </c>
      <c r="E144" s="36">
        <v>5</v>
      </c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8"/>
      <c r="Q144" s="75">
        <f t="shared" si="10"/>
        <v>0</v>
      </c>
      <c r="R144" s="73">
        <f t="shared" si="8"/>
        <v>0</v>
      </c>
      <c r="S144" s="77">
        <f>+F144*E144*D144*6</f>
        <v>0</v>
      </c>
      <c r="T144" s="76">
        <f>+G144*E144*D144*6</f>
        <v>0</v>
      </c>
      <c r="U144" s="76">
        <f>+H144*E144*D144*6</f>
        <v>0</v>
      </c>
      <c r="V144" s="76" t="e">
        <f>+#REF!*E144*D144*6</f>
        <v>#REF!</v>
      </c>
      <c r="W144" s="76">
        <f>+L144*E144*D144*6</f>
        <v>0</v>
      </c>
    </row>
    <row r="145" spans="1:23" ht="15.75" x14ac:dyDescent="0.25">
      <c r="A145" s="33">
        <f>_xlfn.AGGREGATE(3,5,$B$26:B145)</f>
        <v>120</v>
      </c>
      <c r="B145" s="51" t="s">
        <v>137</v>
      </c>
      <c r="C145" s="34" t="s">
        <v>138</v>
      </c>
      <c r="D145" s="35">
        <v>0.27900000000000003</v>
      </c>
      <c r="E145" s="36">
        <v>10</v>
      </c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8"/>
      <c r="Q145" s="75">
        <f t="shared" si="10"/>
        <v>0</v>
      </c>
      <c r="R145" s="73">
        <f t="shared" si="8"/>
        <v>0</v>
      </c>
    </row>
    <row r="146" spans="1:23" ht="16.5" customHeight="1" x14ac:dyDescent="0.25">
      <c r="A146" s="33">
        <f>_xlfn.AGGREGATE(3,5,$B$26:B146)</f>
        <v>121</v>
      </c>
      <c r="B146" s="51" t="s">
        <v>135</v>
      </c>
      <c r="C146" s="34" t="s">
        <v>136</v>
      </c>
      <c r="D146" s="35">
        <v>0.58099999999999996</v>
      </c>
      <c r="E146" s="36">
        <v>5</v>
      </c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8"/>
      <c r="Q146" s="75">
        <f t="shared" si="10"/>
        <v>0</v>
      </c>
      <c r="R146" s="73">
        <f t="shared" si="8"/>
        <v>0</v>
      </c>
      <c r="S146" s="77">
        <f>+F146*E146*D146*6</f>
        <v>0</v>
      </c>
      <c r="T146" s="76">
        <f>+G146*E146*D146*6</f>
        <v>0</v>
      </c>
      <c r="U146" s="76">
        <f>+H146*E146*D146*6</f>
        <v>0</v>
      </c>
      <c r="V146" s="76" t="e">
        <f>+#REF!*E146*D146*6</f>
        <v>#REF!</v>
      </c>
      <c r="W146" s="76">
        <f>+L146*E146*D146*6</f>
        <v>0</v>
      </c>
    </row>
    <row r="147" spans="1:23" ht="15.75" x14ac:dyDescent="0.25">
      <c r="A147" s="33">
        <f>_xlfn.AGGREGATE(3,5,$B$26:B147)</f>
        <v>122</v>
      </c>
      <c r="B147" s="51" t="s">
        <v>141</v>
      </c>
      <c r="C147" s="50" t="s">
        <v>142</v>
      </c>
      <c r="D147" s="35">
        <v>0.125</v>
      </c>
      <c r="E147" s="36">
        <v>10</v>
      </c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8"/>
      <c r="Q147" s="75">
        <f t="shared" si="10"/>
        <v>0</v>
      </c>
      <c r="R147" s="73">
        <f t="shared" si="8"/>
        <v>0</v>
      </c>
    </row>
    <row r="148" spans="1:23" ht="15.75" x14ac:dyDescent="0.25">
      <c r="A148" s="33">
        <f>_xlfn.AGGREGATE(3,5,$B$26:B148)</f>
        <v>123</v>
      </c>
      <c r="B148" s="51" t="s">
        <v>133</v>
      </c>
      <c r="C148" s="34" t="s">
        <v>134</v>
      </c>
      <c r="D148" s="35">
        <v>0.23300000000000001</v>
      </c>
      <c r="E148" s="36">
        <v>10</v>
      </c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8"/>
      <c r="Q148" s="75">
        <f t="shared" si="10"/>
        <v>0</v>
      </c>
      <c r="R148" s="73">
        <f t="shared" si="8"/>
        <v>0</v>
      </c>
    </row>
    <row r="149" spans="1:23" ht="15.75" x14ac:dyDescent="0.25">
      <c r="A149" s="33">
        <f>_xlfn.AGGREGATE(3,5,$B$26:B149)</f>
        <v>124</v>
      </c>
      <c r="B149" s="51" t="s">
        <v>143</v>
      </c>
      <c r="C149" s="34" t="s">
        <v>144</v>
      </c>
      <c r="D149" s="35">
        <v>0.45800000000000002</v>
      </c>
      <c r="E149" s="36">
        <v>10</v>
      </c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8"/>
      <c r="Q149" s="75">
        <f t="shared" si="10"/>
        <v>0</v>
      </c>
      <c r="R149" s="73">
        <f t="shared" si="8"/>
        <v>0</v>
      </c>
    </row>
    <row r="150" spans="1:23" ht="15.75" x14ac:dyDescent="0.25">
      <c r="A150" s="33">
        <f>_xlfn.AGGREGATE(3,5,$B$26:B150)</f>
        <v>125</v>
      </c>
      <c r="B150" s="51" t="s">
        <v>233</v>
      </c>
      <c r="C150" s="34" t="s">
        <v>234</v>
      </c>
      <c r="D150" s="35">
        <v>0.46</v>
      </c>
      <c r="E150" s="36">
        <v>10</v>
      </c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8"/>
      <c r="Q150" s="75">
        <f t="shared" si="10"/>
        <v>0</v>
      </c>
      <c r="R150" s="73">
        <f t="shared" si="8"/>
        <v>0</v>
      </c>
    </row>
    <row r="151" spans="1:23" ht="15.75" x14ac:dyDescent="0.25">
      <c r="A151" s="33">
        <f>_xlfn.AGGREGATE(3,5,$B$26:B151)</f>
        <v>126</v>
      </c>
      <c r="B151" s="51" t="s">
        <v>296</v>
      </c>
      <c r="C151" s="34" t="s">
        <v>297</v>
      </c>
      <c r="D151" s="35">
        <v>0.53700000000000003</v>
      </c>
      <c r="E151" s="36">
        <v>5</v>
      </c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8"/>
      <c r="Q151" s="75">
        <f t="shared" si="10"/>
        <v>0</v>
      </c>
      <c r="R151" s="73">
        <f t="shared" si="8"/>
        <v>0</v>
      </c>
    </row>
    <row r="152" spans="1:23" ht="15.75" x14ac:dyDescent="0.25">
      <c r="A152" s="33">
        <f>_xlfn.AGGREGATE(3,5,$B$26:B152)</f>
        <v>127</v>
      </c>
      <c r="B152" s="51" t="s">
        <v>222</v>
      </c>
      <c r="C152" s="34" t="s">
        <v>223</v>
      </c>
      <c r="D152" s="35">
        <v>0.75600000000000001</v>
      </c>
      <c r="E152" s="36">
        <v>4</v>
      </c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8"/>
      <c r="Q152" s="75">
        <f t="shared" si="10"/>
        <v>0</v>
      </c>
      <c r="R152" s="73">
        <f t="shared" si="8"/>
        <v>0</v>
      </c>
    </row>
    <row r="153" spans="1:23" ht="15.75" x14ac:dyDescent="0.25">
      <c r="A153" s="33">
        <f>_xlfn.AGGREGATE(3,5,$B$26:B153)</f>
        <v>128</v>
      </c>
      <c r="B153" s="51" t="s">
        <v>298</v>
      </c>
      <c r="C153" s="34" t="s">
        <v>299</v>
      </c>
      <c r="D153" s="35">
        <v>0.49399999999999999</v>
      </c>
      <c r="E153" s="36">
        <v>10</v>
      </c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8"/>
      <c r="Q153" s="75">
        <f t="shared" si="10"/>
        <v>0</v>
      </c>
      <c r="R153" s="73">
        <f t="shared" si="8"/>
        <v>0</v>
      </c>
      <c r="S153" s="77">
        <f>+F153*E153*D153*6</f>
        <v>0</v>
      </c>
      <c r="T153" s="76">
        <f>+G153*E153*D153*6</f>
        <v>0</v>
      </c>
      <c r="U153" s="76">
        <f>+H153*E153*D153*6</f>
        <v>0</v>
      </c>
      <c r="V153" s="76">
        <f>+R153</f>
        <v>0</v>
      </c>
      <c r="W153" s="76">
        <f>+L153*E153*D153*6</f>
        <v>0</v>
      </c>
    </row>
    <row r="154" spans="1:23" ht="15.75" x14ac:dyDescent="0.25">
      <c r="A154" s="33">
        <f>_xlfn.AGGREGATE(3,5,$B$26:B154)</f>
        <v>129</v>
      </c>
      <c r="B154" s="51" t="s">
        <v>300</v>
      </c>
      <c r="C154" s="34" t="s">
        <v>301</v>
      </c>
      <c r="D154" s="35">
        <v>0.40899999999999997</v>
      </c>
      <c r="E154" s="36">
        <v>5</v>
      </c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8"/>
      <c r="Q154" s="75">
        <f t="shared" si="10"/>
        <v>0</v>
      </c>
      <c r="R154" s="73">
        <f t="shared" ref="R154:R217" si="11">Q154*D154*6</f>
        <v>0</v>
      </c>
    </row>
    <row r="155" spans="1:23" ht="15.75" x14ac:dyDescent="0.25">
      <c r="A155" s="33">
        <f>_xlfn.AGGREGATE(3,5,$B$26:B155)</f>
        <v>130</v>
      </c>
      <c r="B155" s="51" t="s">
        <v>302</v>
      </c>
      <c r="C155" s="34" t="s">
        <v>303</v>
      </c>
      <c r="D155" s="35">
        <v>1.2</v>
      </c>
      <c r="E155" s="36">
        <v>2</v>
      </c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8"/>
      <c r="Q155" s="75">
        <f t="shared" si="10"/>
        <v>0</v>
      </c>
      <c r="R155" s="73">
        <f t="shared" si="11"/>
        <v>0</v>
      </c>
    </row>
    <row r="156" spans="1:23" ht="15.75" x14ac:dyDescent="0.25">
      <c r="A156" s="33">
        <f>_xlfn.AGGREGATE(3,5,$B$26:B156)</f>
        <v>131</v>
      </c>
      <c r="B156" s="51" t="s">
        <v>168</v>
      </c>
      <c r="C156" s="34" t="s">
        <v>169</v>
      </c>
      <c r="D156" s="52">
        <v>1.057995</v>
      </c>
      <c r="E156" s="53">
        <v>2</v>
      </c>
      <c r="F156" s="38"/>
      <c r="G156" s="38"/>
      <c r="H156" s="38"/>
      <c r="I156" s="38"/>
      <c r="J156" s="38"/>
      <c r="K156" s="38"/>
      <c r="L156" s="38"/>
      <c r="M156" s="39"/>
      <c r="N156" s="39"/>
      <c r="O156" s="39"/>
      <c r="P156" s="40"/>
      <c r="Q156" s="75">
        <f t="shared" si="10"/>
        <v>0</v>
      </c>
      <c r="R156" s="73">
        <f t="shared" si="11"/>
        <v>0</v>
      </c>
    </row>
    <row r="157" spans="1:23" ht="15.75" x14ac:dyDescent="0.25">
      <c r="A157" s="33">
        <f>_xlfn.AGGREGATE(3,5,$B$26:B157)</f>
        <v>132</v>
      </c>
      <c r="B157" s="51" t="s">
        <v>170</v>
      </c>
      <c r="C157" s="34" t="s">
        <v>171</v>
      </c>
      <c r="D157" s="52">
        <v>1.5073559999999999</v>
      </c>
      <c r="E157" s="53">
        <v>2</v>
      </c>
      <c r="F157" s="38"/>
      <c r="G157" s="38"/>
      <c r="H157" s="38"/>
      <c r="I157" s="38"/>
      <c r="J157" s="38"/>
      <c r="K157" s="38"/>
      <c r="L157" s="38"/>
      <c r="M157" s="39"/>
      <c r="N157" s="39"/>
      <c r="O157" s="39"/>
      <c r="P157" s="40"/>
      <c r="Q157" s="75">
        <f t="shared" si="10"/>
        <v>0</v>
      </c>
      <c r="R157" s="73">
        <f t="shared" si="11"/>
        <v>0</v>
      </c>
    </row>
    <row r="158" spans="1:23" ht="31.5" x14ac:dyDescent="0.25">
      <c r="A158" s="33">
        <f>_xlfn.AGGREGATE(3,5,$B$26:B158)</f>
        <v>133</v>
      </c>
      <c r="B158" s="51" t="s">
        <v>304</v>
      </c>
      <c r="C158" s="34" t="s">
        <v>306</v>
      </c>
      <c r="D158" s="52">
        <v>1.057995</v>
      </c>
      <c r="E158" s="53">
        <v>2</v>
      </c>
      <c r="F158" s="38"/>
      <c r="G158" s="38"/>
      <c r="H158" s="38"/>
      <c r="I158" s="38"/>
      <c r="J158" s="38"/>
      <c r="K158" s="38"/>
      <c r="L158" s="38"/>
      <c r="M158" s="39"/>
      <c r="N158" s="39"/>
      <c r="O158" s="39"/>
      <c r="P158" s="40"/>
      <c r="Q158" s="75">
        <f t="shared" si="10"/>
        <v>0</v>
      </c>
      <c r="R158" s="73">
        <f t="shared" si="11"/>
        <v>0</v>
      </c>
    </row>
    <row r="159" spans="1:23" ht="15.75" x14ac:dyDescent="0.25">
      <c r="A159" s="33">
        <f>_xlfn.AGGREGATE(3,5,$B$26:B159)</f>
        <v>134</v>
      </c>
      <c r="B159" s="51" t="s">
        <v>305</v>
      </c>
      <c r="C159" s="34" t="s">
        <v>307</v>
      </c>
      <c r="D159" s="52">
        <v>1.5073559999999999</v>
      </c>
      <c r="E159" s="53">
        <v>2</v>
      </c>
      <c r="F159" s="38"/>
      <c r="G159" s="38"/>
      <c r="H159" s="38"/>
      <c r="I159" s="38"/>
      <c r="J159" s="38"/>
      <c r="K159" s="38"/>
      <c r="L159" s="38"/>
      <c r="M159" s="39"/>
      <c r="N159" s="39"/>
      <c r="O159" s="39"/>
      <c r="P159" s="40"/>
      <c r="Q159" s="75">
        <f t="shared" si="10"/>
        <v>0</v>
      </c>
      <c r="R159" s="73">
        <f t="shared" si="11"/>
        <v>0</v>
      </c>
    </row>
    <row r="160" spans="1:23" ht="15.75" x14ac:dyDescent="0.25">
      <c r="A160" s="33">
        <f>_xlfn.AGGREGATE(3,5,$B$26:B160)</f>
        <v>135</v>
      </c>
      <c r="B160" s="51" t="s">
        <v>172</v>
      </c>
      <c r="C160" s="34" t="s">
        <v>308</v>
      </c>
      <c r="D160" s="52">
        <v>1.7176779000000002</v>
      </c>
      <c r="E160" s="53">
        <v>2</v>
      </c>
      <c r="F160" s="38"/>
      <c r="G160" s="38"/>
      <c r="H160" s="38"/>
      <c r="I160" s="38"/>
      <c r="J160" s="38"/>
      <c r="K160" s="38"/>
      <c r="L160" s="38"/>
      <c r="M160" s="39"/>
      <c r="N160" s="39"/>
      <c r="O160" s="39"/>
      <c r="P160" s="40"/>
      <c r="Q160" s="75">
        <f t="shared" si="10"/>
        <v>0</v>
      </c>
      <c r="R160" s="73">
        <f t="shared" si="11"/>
        <v>0</v>
      </c>
    </row>
    <row r="161" spans="1:18" ht="15.75" x14ac:dyDescent="0.25">
      <c r="A161" s="33">
        <f>_xlfn.AGGREGATE(3,5,$B$26:B161)</f>
        <v>136</v>
      </c>
      <c r="B161" s="51" t="s">
        <v>172</v>
      </c>
      <c r="C161" s="34" t="s">
        <v>309</v>
      </c>
      <c r="D161" s="52">
        <v>1.7176779000000002</v>
      </c>
      <c r="E161" s="53">
        <v>2</v>
      </c>
      <c r="F161" s="38"/>
      <c r="G161" s="38"/>
      <c r="H161" s="38"/>
      <c r="I161" s="38"/>
      <c r="J161" s="38"/>
      <c r="K161" s="38"/>
      <c r="L161" s="38"/>
      <c r="M161" s="39"/>
      <c r="N161" s="39"/>
      <c r="O161" s="39"/>
      <c r="P161" s="40"/>
      <c r="Q161" s="75">
        <f t="shared" si="10"/>
        <v>0</v>
      </c>
      <c r="R161" s="73">
        <f t="shared" si="11"/>
        <v>0</v>
      </c>
    </row>
    <row r="162" spans="1:18" ht="15.75" x14ac:dyDescent="0.25">
      <c r="A162" s="33">
        <f>_xlfn.AGGREGATE(3,5,$B$26:B162)</f>
        <v>137</v>
      </c>
      <c r="B162" s="51" t="s">
        <v>173</v>
      </c>
      <c r="C162" s="34" t="s">
        <v>174</v>
      </c>
      <c r="D162" s="52">
        <v>1.4216715</v>
      </c>
      <c r="E162" s="53">
        <v>2</v>
      </c>
      <c r="F162" s="38"/>
      <c r="G162" s="38"/>
      <c r="H162" s="38"/>
      <c r="I162" s="38"/>
      <c r="J162" s="38"/>
      <c r="K162" s="38"/>
      <c r="L162" s="38"/>
      <c r="M162" s="39"/>
      <c r="N162" s="39"/>
      <c r="O162" s="39"/>
      <c r="P162" s="40"/>
      <c r="Q162" s="75">
        <f t="shared" ref="Q162:Q176" si="12">SUM(F162:P162)*E162</f>
        <v>0</v>
      </c>
      <c r="R162" s="73">
        <f t="shared" si="11"/>
        <v>0</v>
      </c>
    </row>
    <row r="163" spans="1:18" ht="15.75" x14ac:dyDescent="0.25">
      <c r="A163" s="33">
        <f>_xlfn.AGGREGATE(3,5,$B$26:B163)</f>
        <v>138</v>
      </c>
      <c r="B163" s="51" t="s">
        <v>175</v>
      </c>
      <c r="C163" s="34" t="s">
        <v>186</v>
      </c>
      <c r="D163" s="52">
        <v>1.3846571999999999</v>
      </c>
      <c r="E163" s="53">
        <v>2</v>
      </c>
      <c r="F163" s="38"/>
      <c r="G163" s="38"/>
      <c r="H163" s="38"/>
      <c r="I163" s="38"/>
      <c r="J163" s="38"/>
      <c r="K163" s="38"/>
      <c r="L163" s="38"/>
      <c r="M163" s="39"/>
      <c r="N163" s="39"/>
      <c r="O163" s="39"/>
      <c r="P163" s="40"/>
      <c r="Q163" s="75">
        <f t="shared" si="12"/>
        <v>0</v>
      </c>
      <c r="R163" s="73">
        <f t="shared" si="11"/>
        <v>0</v>
      </c>
    </row>
    <row r="164" spans="1:18" ht="15.75" x14ac:dyDescent="0.25">
      <c r="A164" s="33">
        <f>_xlfn.AGGREGATE(3,5,$B$26:B164)</f>
        <v>139</v>
      </c>
      <c r="B164" s="51" t="s">
        <v>175</v>
      </c>
      <c r="C164" s="34" t="s">
        <v>310</v>
      </c>
      <c r="D164" s="52">
        <v>1.3846571999999999</v>
      </c>
      <c r="E164" s="53">
        <v>2</v>
      </c>
      <c r="F164" s="38"/>
      <c r="G164" s="38"/>
      <c r="H164" s="38"/>
      <c r="I164" s="38"/>
      <c r="J164" s="38"/>
      <c r="K164" s="38"/>
      <c r="L164" s="38"/>
      <c r="M164" s="39"/>
      <c r="N164" s="39"/>
      <c r="O164" s="39"/>
      <c r="P164" s="40"/>
      <c r="Q164" s="75">
        <f t="shared" si="12"/>
        <v>0</v>
      </c>
      <c r="R164" s="73">
        <f t="shared" si="11"/>
        <v>0</v>
      </c>
    </row>
    <row r="165" spans="1:18" ht="15.75" x14ac:dyDescent="0.25">
      <c r="A165" s="33">
        <f>_xlfn.AGGREGATE(3,5,$B$26:B165)</f>
        <v>140</v>
      </c>
      <c r="B165" s="51" t="s">
        <v>176</v>
      </c>
      <c r="C165" s="34" t="s">
        <v>311</v>
      </c>
      <c r="D165" s="52">
        <v>1.6213716</v>
      </c>
      <c r="E165" s="53">
        <v>2</v>
      </c>
      <c r="F165" s="38"/>
      <c r="G165" s="38"/>
      <c r="H165" s="38"/>
      <c r="I165" s="38"/>
      <c r="J165" s="38"/>
      <c r="K165" s="38"/>
      <c r="L165" s="38"/>
      <c r="M165" s="39"/>
      <c r="N165" s="39"/>
      <c r="O165" s="39"/>
      <c r="P165" s="40"/>
      <c r="Q165" s="75">
        <f t="shared" si="12"/>
        <v>0</v>
      </c>
      <c r="R165" s="73">
        <f t="shared" si="11"/>
        <v>0</v>
      </c>
    </row>
    <row r="166" spans="1:18" ht="15.75" x14ac:dyDescent="0.25">
      <c r="A166" s="33">
        <f>_xlfn.AGGREGATE(3,5,$B$26:B166)</f>
        <v>141</v>
      </c>
      <c r="B166" s="51" t="s">
        <v>176</v>
      </c>
      <c r="C166" s="34" t="s">
        <v>312</v>
      </c>
      <c r="D166" s="52">
        <v>1.6213716</v>
      </c>
      <c r="E166" s="53">
        <v>2</v>
      </c>
      <c r="F166" s="38"/>
      <c r="G166" s="38"/>
      <c r="H166" s="38"/>
      <c r="I166" s="38"/>
      <c r="J166" s="38"/>
      <c r="K166" s="38"/>
      <c r="L166" s="38"/>
      <c r="M166" s="39"/>
      <c r="N166" s="39"/>
      <c r="O166" s="39"/>
      <c r="P166" s="40"/>
      <c r="Q166" s="75">
        <f t="shared" si="12"/>
        <v>0</v>
      </c>
      <c r="R166" s="73">
        <f t="shared" si="11"/>
        <v>0</v>
      </c>
    </row>
    <row r="167" spans="1:18" ht="15.75" x14ac:dyDescent="0.25">
      <c r="A167" s="33">
        <f>_xlfn.AGGREGATE(3,5,$B$26:B167)</f>
        <v>142</v>
      </c>
      <c r="B167" s="51" t="s">
        <v>177</v>
      </c>
      <c r="C167" s="34" t="s">
        <v>178</v>
      </c>
      <c r="D167" s="52">
        <v>1.2295475999999999</v>
      </c>
      <c r="E167" s="53">
        <v>2</v>
      </c>
      <c r="F167" s="38"/>
      <c r="G167" s="38"/>
      <c r="H167" s="38"/>
      <c r="I167" s="38"/>
      <c r="J167" s="38"/>
      <c r="K167" s="38"/>
      <c r="L167" s="38"/>
      <c r="M167" s="39"/>
      <c r="N167" s="39"/>
      <c r="O167" s="39"/>
      <c r="P167" s="40"/>
      <c r="Q167" s="75">
        <f t="shared" si="12"/>
        <v>0</v>
      </c>
      <c r="R167" s="73">
        <f t="shared" si="11"/>
        <v>0</v>
      </c>
    </row>
    <row r="168" spans="1:18" ht="15.75" x14ac:dyDescent="0.25">
      <c r="A168" s="33">
        <f>_xlfn.AGGREGATE(3,5,$B$26:B168)</f>
        <v>143</v>
      </c>
      <c r="B168" s="82" t="s">
        <v>179</v>
      </c>
      <c r="C168" s="84" t="s">
        <v>313</v>
      </c>
      <c r="D168" s="84">
        <v>1.6754039999999999</v>
      </c>
      <c r="E168" s="85">
        <v>2</v>
      </c>
      <c r="F168" s="38"/>
      <c r="G168" s="38"/>
      <c r="H168" s="38"/>
      <c r="I168" s="38"/>
      <c r="J168" s="38"/>
      <c r="K168" s="38"/>
      <c r="L168" s="38"/>
      <c r="M168" s="39"/>
      <c r="N168" s="39"/>
      <c r="O168" s="39"/>
      <c r="P168" s="40"/>
      <c r="Q168" s="75">
        <f t="shared" si="12"/>
        <v>0</v>
      </c>
      <c r="R168" s="73">
        <f t="shared" si="11"/>
        <v>0</v>
      </c>
    </row>
    <row r="169" spans="1:18" ht="15.75" x14ac:dyDescent="0.25">
      <c r="A169" s="33">
        <f>_xlfn.AGGREGATE(3,5,$B$26:B169)</f>
        <v>144</v>
      </c>
      <c r="B169" s="82" t="s">
        <v>179</v>
      </c>
      <c r="C169" s="84" t="s">
        <v>314</v>
      </c>
      <c r="D169" s="84">
        <v>1.6754039999999999</v>
      </c>
      <c r="E169" s="85">
        <v>2</v>
      </c>
      <c r="F169" s="38"/>
      <c r="G169" s="38"/>
      <c r="H169" s="38"/>
      <c r="I169" s="38"/>
      <c r="J169" s="38"/>
      <c r="K169" s="38"/>
      <c r="L169" s="38"/>
      <c r="M169" s="39"/>
      <c r="N169" s="39"/>
      <c r="O169" s="39"/>
      <c r="P169" s="40"/>
      <c r="Q169" s="75">
        <f t="shared" si="12"/>
        <v>0</v>
      </c>
      <c r="R169" s="73">
        <f t="shared" si="11"/>
        <v>0</v>
      </c>
    </row>
    <row r="170" spans="1:18" ht="15.75" x14ac:dyDescent="0.25">
      <c r="A170" s="33">
        <f>_xlfn.AGGREGATE(3,5,$B$26:B170)</f>
        <v>145</v>
      </c>
      <c r="B170" s="82" t="s">
        <v>180</v>
      </c>
      <c r="C170" s="84" t="s">
        <v>181</v>
      </c>
      <c r="D170" s="84">
        <v>0.32049</v>
      </c>
      <c r="E170" s="85">
        <v>10</v>
      </c>
      <c r="F170" s="38"/>
      <c r="G170" s="38"/>
      <c r="H170" s="38"/>
      <c r="I170" s="38"/>
      <c r="J170" s="38"/>
      <c r="K170" s="38"/>
      <c r="L170" s="38"/>
      <c r="M170" s="39"/>
      <c r="N170" s="39"/>
      <c r="O170" s="39"/>
      <c r="P170" s="40"/>
      <c r="Q170" s="75">
        <f t="shared" si="12"/>
        <v>0</v>
      </c>
      <c r="R170" s="73">
        <f t="shared" si="11"/>
        <v>0</v>
      </c>
    </row>
    <row r="171" spans="1:18" ht="15.75" x14ac:dyDescent="0.25">
      <c r="A171" s="33">
        <f>_xlfn.AGGREGATE(3,5,$B$26:B171)</f>
        <v>146</v>
      </c>
      <c r="B171" s="82" t="s">
        <v>182</v>
      </c>
      <c r="C171" s="79" t="s">
        <v>183</v>
      </c>
      <c r="D171" s="79">
        <v>9.1999999999999998E-2</v>
      </c>
      <c r="E171" s="83">
        <v>20</v>
      </c>
      <c r="F171" s="38"/>
      <c r="G171" s="38"/>
      <c r="H171" s="38"/>
      <c r="I171" s="38"/>
      <c r="J171" s="38"/>
      <c r="K171" s="38"/>
      <c r="L171" s="38"/>
      <c r="M171" s="39"/>
      <c r="N171" s="39"/>
      <c r="O171" s="39"/>
      <c r="P171" s="40"/>
      <c r="Q171" s="75">
        <f t="shared" si="12"/>
        <v>0</v>
      </c>
      <c r="R171" s="73">
        <f t="shared" si="11"/>
        <v>0</v>
      </c>
    </row>
    <row r="172" spans="1:18" ht="15" customHeight="1" x14ac:dyDescent="0.25">
      <c r="A172" s="33">
        <f>_xlfn.AGGREGATE(3,5,$B$26:B172)</f>
        <v>147</v>
      </c>
      <c r="B172" s="51" t="s">
        <v>211</v>
      </c>
      <c r="C172" s="34" t="s">
        <v>212</v>
      </c>
      <c r="D172" s="35">
        <v>1.423</v>
      </c>
      <c r="E172" s="81">
        <v>1</v>
      </c>
      <c r="F172" s="38"/>
      <c r="G172" s="38"/>
      <c r="H172" s="38"/>
      <c r="I172" s="38"/>
      <c r="J172" s="38"/>
      <c r="K172" s="38"/>
      <c r="L172" s="38"/>
      <c r="M172" s="39"/>
      <c r="N172" s="39"/>
      <c r="O172" s="39"/>
      <c r="P172" s="39"/>
      <c r="Q172" s="75">
        <f t="shared" si="12"/>
        <v>0</v>
      </c>
      <c r="R172" s="73">
        <f t="shared" si="11"/>
        <v>0</v>
      </c>
    </row>
    <row r="173" spans="1:18" ht="15.75" x14ac:dyDescent="0.25">
      <c r="A173" s="33">
        <f>_xlfn.AGGREGATE(3,5,$B$26:B173)</f>
        <v>148</v>
      </c>
      <c r="B173" s="51" t="s">
        <v>213</v>
      </c>
      <c r="C173" s="34" t="s">
        <v>214</v>
      </c>
      <c r="D173" s="35">
        <v>0.36099999999999999</v>
      </c>
      <c r="E173" s="81">
        <v>10</v>
      </c>
      <c r="F173" s="38"/>
      <c r="G173" s="38"/>
      <c r="H173" s="38"/>
      <c r="I173" s="38"/>
      <c r="J173" s="38"/>
      <c r="K173" s="38"/>
      <c r="L173" s="38"/>
      <c r="M173" s="39"/>
      <c r="N173" s="39"/>
      <c r="O173" s="39"/>
      <c r="P173" s="39"/>
      <c r="Q173" s="75">
        <f t="shared" si="12"/>
        <v>0</v>
      </c>
      <c r="R173" s="73">
        <f t="shared" si="11"/>
        <v>0</v>
      </c>
    </row>
    <row r="174" spans="1:18" ht="15.75" x14ac:dyDescent="0.25">
      <c r="A174" s="33">
        <f>_xlfn.AGGREGATE(3,5,$B$26:B174)</f>
        <v>149</v>
      </c>
      <c r="B174" s="51" t="s">
        <v>215</v>
      </c>
      <c r="C174" s="34" t="s">
        <v>216</v>
      </c>
      <c r="D174" s="35">
        <v>0.22800000000000001</v>
      </c>
      <c r="E174" s="81">
        <v>10</v>
      </c>
      <c r="F174" s="38"/>
      <c r="G174" s="38"/>
      <c r="H174" s="38"/>
      <c r="I174" s="38"/>
      <c r="J174" s="38"/>
      <c r="K174" s="38"/>
      <c r="L174" s="38"/>
      <c r="M174" s="39"/>
      <c r="N174" s="39"/>
      <c r="O174" s="39"/>
      <c r="P174" s="39"/>
      <c r="Q174" s="75">
        <f t="shared" si="12"/>
        <v>0</v>
      </c>
      <c r="R174" s="73">
        <f t="shared" si="11"/>
        <v>0</v>
      </c>
    </row>
    <row r="175" spans="1:18" ht="15.75" x14ac:dyDescent="0.25">
      <c r="A175" s="33">
        <f>_xlfn.AGGREGATE(3,5,$B$26:B175)</f>
        <v>150</v>
      </c>
      <c r="B175" s="51" t="s">
        <v>94</v>
      </c>
      <c r="C175" s="34" t="s">
        <v>217</v>
      </c>
      <c r="D175" s="35">
        <v>0.497</v>
      </c>
      <c r="E175" s="81">
        <v>5</v>
      </c>
      <c r="F175" s="38"/>
      <c r="G175" s="38"/>
      <c r="H175" s="38"/>
      <c r="I175" s="38"/>
      <c r="J175" s="38"/>
      <c r="K175" s="38"/>
      <c r="L175" s="38"/>
      <c r="M175" s="39"/>
      <c r="N175" s="39"/>
      <c r="O175" s="39"/>
      <c r="P175" s="39"/>
      <c r="Q175" s="75">
        <f t="shared" si="12"/>
        <v>0</v>
      </c>
      <c r="R175" s="73">
        <f t="shared" si="11"/>
        <v>0</v>
      </c>
    </row>
    <row r="176" spans="1:18" ht="15.75" x14ac:dyDescent="0.25">
      <c r="A176" s="33">
        <f>_xlfn.AGGREGATE(3,5,$B$26:B176)</f>
        <v>151</v>
      </c>
      <c r="B176" s="51" t="s">
        <v>378</v>
      </c>
      <c r="C176" s="34" t="s">
        <v>218</v>
      </c>
      <c r="D176" s="35">
        <v>0.69</v>
      </c>
      <c r="E176" s="81">
        <v>4</v>
      </c>
      <c r="F176" s="38"/>
      <c r="G176" s="38"/>
      <c r="H176" s="38"/>
      <c r="I176" s="38"/>
      <c r="J176" s="38"/>
      <c r="K176" s="38"/>
      <c r="L176" s="38"/>
      <c r="M176" s="39"/>
      <c r="N176" s="39"/>
      <c r="O176" s="39"/>
      <c r="P176" s="39"/>
      <c r="Q176" s="75">
        <f t="shared" si="12"/>
        <v>0</v>
      </c>
      <c r="R176" s="73">
        <f t="shared" si="11"/>
        <v>0</v>
      </c>
    </row>
    <row r="177" spans="1:18" ht="15.75" x14ac:dyDescent="0.25">
      <c r="A177" s="33">
        <f>_xlfn.AGGREGATE(3,5,$B$26:B177)</f>
        <v>152</v>
      </c>
      <c r="B177" s="51" t="s">
        <v>254</v>
      </c>
      <c r="C177" s="34" t="s">
        <v>219</v>
      </c>
      <c r="D177" s="35">
        <v>0.34799999999999998</v>
      </c>
      <c r="E177" s="81">
        <v>10</v>
      </c>
      <c r="F177" s="38"/>
      <c r="G177" s="38"/>
      <c r="H177" s="38"/>
      <c r="I177" s="38"/>
      <c r="J177" s="38"/>
      <c r="K177" s="38"/>
      <c r="L177" s="38"/>
      <c r="M177" s="39"/>
      <c r="N177" s="39"/>
      <c r="O177" s="39"/>
      <c r="P177" s="39"/>
      <c r="Q177" s="75">
        <f t="shared" ref="Q177:Q208" si="13">SUM(F177:P177)*E177</f>
        <v>0</v>
      </c>
      <c r="R177" s="73">
        <f t="shared" si="11"/>
        <v>0</v>
      </c>
    </row>
    <row r="178" spans="1:18" ht="15.75" x14ac:dyDescent="0.25">
      <c r="A178" s="33">
        <f>_xlfn.AGGREGATE(3,5,$B$26:B178)</f>
        <v>153</v>
      </c>
      <c r="B178" s="51" t="s">
        <v>220</v>
      </c>
      <c r="C178" s="34" t="s">
        <v>221</v>
      </c>
      <c r="D178" s="35">
        <v>0.34399999999999997</v>
      </c>
      <c r="E178" s="81">
        <v>10</v>
      </c>
      <c r="F178" s="38"/>
      <c r="G178" s="38"/>
      <c r="H178" s="38"/>
      <c r="I178" s="38"/>
      <c r="J178" s="38"/>
      <c r="K178" s="38"/>
      <c r="L178" s="38"/>
      <c r="M178" s="39"/>
      <c r="N178" s="39"/>
      <c r="O178" s="39"/>
      <c r="P178" s="39"/>
      <c r="Q178" s="75">
        <f t="shared" si="13"/>
        <v>0</v>
      </c>
      <c r="R178" s="73">
        <f t="shared" si="11"/>
        <v>0</v>
      </c>
    </row>
    <row r="179" spans="1:18" ht="15.75" x14ac:dyDescent="0.25">
      <c r="A179" s="33">
        <f>_xlfn.AGGREGATE(3,5,$B$26:B179)</f>
        <v>154</v>
      </c>
      <c r="B179" s="51" t="s">
        <v>346</v>
      </c>
      <c r="C179" s="34" t="s">
        <v>347</v>
      </c>
      <c r="D179" s="35">
        <v>0.23</v>
      </c>
      <c r="E179" s="81">
        <v>10</v>
      </c>
      <c r="F179" s="38"/>
      <c r="G179" s="38"/>
      <c r="H179" s="38"/>
      <c r="I179" s="38"/>
      <c r="J179" s="38"/>
      <c r="K179" s="38"/>
      <c r="L179" s="38"/>
      <c r="M179" s="39"/>
      <c r="N179" s="39"/>
      <c r="O179" s="39"/>
      <c r="P179" s="39"/>
      <c r="Q179" s="75">
        <f t="shared" si="13"/>
        <v>0</v>
      </c>
      <c r="R179" s="73">
        <f t="shared" si="11"/>
        <v>0</v>
      </c>
    </row>
    <row r="180" spans="1:18" ht="15.75" x14ac:dyDescent="0.25">
      <c r="A180" s="33">
        <f>_xlfn.AGGREGATE(3,5,$B$26:B180)</f>
        <v>155</v>
      </c>
      <c r="B180" s="82" t="s">
        <v>238</v>
      </c>
      <c r="C180" s="79" t="s">
        <v>115</v>
      </c>
      <c r="D180" s="79">
        <v>0.61</v>
      </c>
      <c r="E180" s="83">
        <v>4</v>
      </c>
      <c r="F180" s="38"/>
      <c r="G180" s="38"/>
      <c r="H180" s="38"/>
      <c r="I180" s="38"/>
      <c r="J180" s="38"/>
      <c r="K180" s="38"/>
      <c r="L180" s="38"/>
      <c r="M180" s="39"/>
      <c r="N180" s="38"/>
      <c r="O180" s="39"/>
      <c r="P180" s="40"/>
      <c r="Q180" s="75">
        <f t="shared" si="13"/>
        <v>0</v>
      </c>
      <c r="R180" s="73">
        <f t="shared" si="11"/>
        <v>0</v>
      </c>
    </row>
    <row r="181" spans="1:18" ht="15.75" x14ac:dyDescent="0.25">
      <c r="A181" s="33">
        <f>_xlfn.AGGREGATE(3,5,$B$26:B181)</f>
        <v>156</v>
      </c>
      <c r="B181" s="82" t="s">
        <v>239</v>
      </c>
      <c r="C181" s="79" t="s">
        <v>119</v>
      </c>
      <c r="D181" s="79">
        <v>0.81</v>
      </c>
      <c r="E181" s="83">
        <v>4</v>
      </c>
      <c r="F181" s="38"/>
      <c r="G181" s="38"/>
      <c r="H181" s="38"/>
      <c r="I181" s="38"/>
      <c r="J181" s="38"/>
      <c r="K181" s="38"/>
      <c r="L181" s="38"/>
      <c r="M181" s="39"/>
      <c r="N181" s="38"/>
      <c r="O181" s="39"/>
      <c r="P181" s="40"/>
      <c r="Q181" s="75">
        <f t="shared" si="13"/>
        <v>0</v>
      </c>
      <c r="R181" s="73">
        <f t="shared" si="11"/>
        <v>0</v>
      </c>
    </row>
    <row r="182" spans="1:18" ht="15.75" x14ac:dyDescent="0.25">
      <c r="A182" s="33">
        <f>_xlfn.AGGREGATE(3,5,$B$26:B182)</f>
        <v>157</v>
      </c>
      <c r="B182" s="82" t="s">
        <v>240</v>
      </c>
      <c r="C182" s="79" t="s">
        <v>125</v>
      </c>
      <c r="D182" s="79">
        <v>0.63</v>
      </c>
      <c r="E182" s="83">
        <v>4</v>
      </c>
      <c r="F182" s="38"/>
      <c r="G182" s="38"/>
      <c r="H182" s="38"/>
      <c r="I182" s="38"/>
      <c r="J182" s="38"/>
      <c r="K182" s="38"/>
      <c r="L182" s="38"/>
      <c r="M182" s="39"/>
      <c r="N182" s="38"/>
      <c r="O182" s="39"/>
      <c r="P182" s="40"/>
      <c r="Q182" s="75">
        <f t="shared" si="13"/>
        <v>0</v>
      </c>
      <c r="R182" s="73">
        <f t="shared" si="11"/>
        <v>0</v>
      </c>
    </row>
    <row r="183" spans="1:18" ht="15.75" x14ac:dyDescent="0.25">
      <c r="A183" s="33">
        <f>_xlfn.AGGREGATE(3,5,$B$26:B183)</f>
        <v>158</v>
      </c>
      <c r="B183" s="82" t="s">
        <v>33</v>
      </c>
      <c r="C183" s="79" t="s">
        <v>241</v>
      </c>
      <c r="D183" s="79">
        <v>0.89</v>
      </c>
      <c r="E183" s="83">
        <v>4</v>
      </c>
      <c r="F183" s="38"/>
      <c r="G183" s="38"/>
      <c r="H183" s="38"/>
      <c r="I183" s="38"/>
      <c r="J183" s="38"/>
      <c r="K183" s="38"/>
      <c r="L183" s="38"/>
      <c r="M183" s="39"/>
      <c r="N183" s="39"/>
      <c r="O183" s="39"/>
      <c r="P183" s="40"/>
      <c r="Q183" s="75">
        <f t="shared" si="13"/>
        <v>0</v>
      </c>
      <c r="R183" s="73">
        <f t="shared" si="11"/>
        <v>0</v>
      </c>
    </row>
    <row r="184" spans="1:18" ht="15.75" x14ac:dyDescent="0.25">
      <c r="A184" s="33">
        <f>_xlfn.AGGREGATE(3,5,$B$26:B184)</f>
        <v>159</v>
      </c>
      <c r="B184" s="82" t="s">
        <v>14</v>
      </c>
      <c r="C184" s="79" t="s">
        <v>242</v>
      </c>
      <c r="D184" s="79">
        <v>0.91</v>
      </c>
      <c r="E184" s="83">
        <v>4</v>
      </c>
      <c r="F184" s="38"/>
      <c r="G184" s="38"/>
      <c r="H184" s="38"/>
      <c r="I184" s="38"/>
      <c r="J184" s="38"/>
      <c r="K184" s="38"/>
      <c r="L184" s="38"/>
      <c r="M184" s="39"/>
      <c r="N184" s="39"/>
      <c r="O184" s="39"/>
      <c r="P184" s="40"/>
      <c r="Q184" s="75">
        <f t="shared" si="13"/>
        <v>0</v>
      </c>
      <c r="R184" s="73">
        <f t="shared" si="11"/>
        <v>0</v>
      </c>
    </row>
    <row r="185" spans="1:18" ht="15.75" x14ac:dyDescent="0.25">
      <c r="A185" s="33">
        <f>_xlfn.AGGREGATE(3,5,$B$26:B185)</f>
        <v>160</v>
      </c>
      <c r="B185" s="82" t="s">
        <v>16</v>
      </c>
      <c r="C185" s="79" t="s">
        <v>122</v>
      </c>
      <c r="D185" s="79">
        <v>0.68299999999999994</v>
      </c>
      <c r="E185" s="83">
        <v>4</v>
      </c>
      <c r="F185" s="38"/>
      <c r="G185" s="38"/>
      <c r="H185" s="38"/>
      <c r="I185" s="38"/>
      <c r="J185" s="38"/>
      <c r="K185" s="38"/>
      <c r="L185" s="38"/>
      <c r="M185" s="39"/>
      <c r="N185" s="39"/>
      <c r="O185" s="39"/>
      <c r="P185" s="40"/>
      <c r="Q185" s="75">
        <f t="shared" si="13"/>
        <v>0</v>
      </c>
      <c r="R185" s="73">
        <f t="shared" si="11"/>
        <v>0</v>
      </c>
    </row>
    <row r="186" spans="1:18" ht="15.75" x14ac:dyDescent="0.25">
      <c r="A186" s="33">
        <f>_xlfn.AGGREGATE(3,5,$B$26:B186)</f>
        <v>161</v>
      </c>
      <c r="B186" s="82" t="s">
        <v>243</v>
      </c>
      <c r="C186" s="79" t="s">
        <v>244</v>
      </c>
      <c r="D186" s="79">
        <v>0.224</v>
      </c>
      <c r="E186" s="83">
        <v>10</v>
      </c>
      <c r="F186" s="38"/>
      <c r="G186" s="38"/>
      <c r="H186" s="38"/>
      <c r="I186" s="38"/>
      <c r="J186" s="38"/>
      <c r="K186" s="38"/>
      <c r="L186" s="38"/>
      <c r="M186" s="39"/>
      <c r="N186" s="39"/>
      <c r="O186" s="39"/>
      <c r="P186" s="40"/>
      <c r="Q186" s="75">
        <f t="shared" si="13"/>
        <v>0</v>
      </c>
      <c r="R186" s="73">
        <f t="shared" si="11"/>
        <v>0</v>
      </c>
    </row>
    <row r="187" spans="1:18" ht="15.75" x14ac:dyDescent="0.25">
      <c r="A187" s="33">
        <f>_xlfn.AGGREGATE(3,5,$B$26:B187)</f>
        <v>162</v>
      </c>
      <c r="B187" s="82" t="s">
        <v>54</v>
      </c>
      <c r="C187" s="79" t="s">
        <v>245</v>
      </c>
      <c r="D187" s="79">
        <v>0.22900000000000001</v>
      </c>
      <c r="E187" s="83">
        <v>10</v>
      </c>
      <c r="F187" s="38"/>
      <c r="G187" s="38"/>
      <c r="H187" s="38"/>
      <c r="I187" s="38"/>
      <c r="J187" s="38"/>
      <c r="K187" s="38"/>
      <c r="L187" s="38"/>
      <c r="M187" s="39"/>
      <c r="N187" s="39"/>
      <c r="O187" s="39"/>
      <c r="P187" s="40"/>
      <c r="Q187" s="75">
        <f t="shared" si="13"/>
        <v>0</v>
      </c>
      <c r="R187" s="73">
        <f t="shared" si="11"/>
        <v>0</v>
      </c>
    </row>
    <row r="188" spans="1:18" ht="15.75" x14ac:dyDescent="0.25">
      <c r="A188" s="33">
        <f>_xlfn.AGGREGATE(3,5,$B$26:B188)</f>
        <v>163</v>
      </c>
      <c r="B188" s="82" t="s">
        <v>12</v>
      </c>
      <c r="C188" s="79" t="s">
        <v>246</v>
      </c>
      <c r="D188" s="79">
        <v>0.48399999999999999</v>
      </c>
      <c r="E188" s="83">
        <v>10</v>
      </c>
      <c r="F188" s="38"/>
      <c r="G188" s="38"/>
      <c r="H188" s="38"/>
      <c r="I188" s="38"/>
      <c r="J188" s="38"/>
      <c r="K188" s="38"/>
      <c r="L188" s="38"/>
      <c r="M188" s="39"/>
      <c r="N188" s="39"/>
      <c r="O188" s="39"/>
      <c r="P188" s="40"/>
      <c r="Q188" s="75">
        <f t="shared" si="13"/>
        <v>0</v>
      </c>
      <c r="R188" s="73">
        <f t="shared" si="11"/>
        <v>0</v>
      </c>
    </row>
    <row r="189" spans="1:18" ht="15.75" x14ac:dyDescent="0.25">
      <c r="A189" s="33">
        <f>_xlfn.AGGREGATE(3,5,$B$26:B189)</f>
        <v>164</v>
      </c>
      <c r="B189" s="82" t="s">
        <v>247</v>
      </c>
      <c r="C189" s="79" t="s">
        <v>248</v>
      </c>
      <c r="D189" s="79">
        <v>0.61599999999999999</v>
      </c>
      <c r="E189" s="83">
        <v>4</v>
      </c>
      <c r="F189" s="38"/>
      <c r="G189" s="38"/>
      <c r="H189" s="38"/>
      <c r="I189" s="38"/>
      <c r="J189" s="38"/>
      <c r="K189" s="38"/>
      <c r="L189" s="38"/>
      <c r="M189" s="39"/>
      <c r="N189" s="39"/>
      <c r="O189" s="39"/>
      <c r="P189" s="40"/>
      <c r="Q189" s="75">
        <f t="shared" si="13"/>
        <v>0</v>
      </c>
      <c r="R189" s="73">
        <f t="shared" si="11"/>
        <v>0</v>
      </c>
    </row>
    <row r="190" spans="1:18" ht="15.75" x14ac:dyDescent="0.25">
      <c r="A190" s="33">
        <f>_xlfn.AGGREGATE(3,5,$B$26:B190)</f>
        <v>165</v>
      </c>
      <c r="B190" s="82" t="s">
        <v>249</v>
      </c>
      <c r="C190" s="79" t="s">
        <v>250</v>
      </c>
      <c r="D190" s="79">
        <v>0.66200000000000003</v>
      </c>
      <c r="E190" s="83">
        <v>4</v>
      </c>
      <c r="F190" s="38"/>
      <c r="G190" s="38"/>
      <c r="H190" s="38"/>
      <c r="I190" s="38"/>
      <c r="J190" s="38"/>
      <c r="K190" s="38"/>
      <c r="L190" s="38"/>
      <c r="M190" s="39"/>
      <c r="N190" s="39"/>
      <c r="O190" s="39"/>
      <c r="P190" s="40"/>
      <c r="Q190" s="75">
        <f t="shared" si="13"/>
        <v>0</v>
      </c>
      <c r="R190" s="73">
        <f t="shared" si="11"/>
        <v>0</v>
      </c>
    </row>
    <row r="191" spans="1:18" ht="15.75" x14ac:dyDescent="0.25">
      <c r="A191" s="33">
        <f>_xlfn.AGGREGATE(3,5,$B$26:B191)</f>
        <v>166</v>
      </c>
      <c r="B191" s="82" t="s">
        <v>44</v>
      </c>
      <c r="C191" s="79" t="s">
        <v>251</v>
      </c>
      <c r="D191" s="79">
        <v>0.34300000000000003</v>
      </c>
      <c r="E191" s="83">
        <v>10</v>
      </c>
      <c r="F191" s="38"/>
      <c r="G191" s="38"/>
      <c r="H191" s="38"/>
      <c r="I191" s="38"/>
      <c r="J191" s="38"/>
      <c r="K191" s="38"/>
      <c r="L191" s="38"/>
      <c r="M191" s="39"/>
      <c r="N191" s="39"/>
      <c r="O191" s="39"/>
      <c r="P191" s="40"/>
      <c r="Q191" s="75">
        <f t="shared" si="13"/>
        <v>0</v>
      </c>
      <c r="R191" s="73">
        <f t="shared" si="11"/>
        <v>0</v>
      </c>
    </row>
    <row r="192" spans="1:18" ht="15.75" x14ac:dyDescent="0.25">
      <c r="A192" s="33">
        <f>_xlfn.AGGREGATE(3,5,$B$26:B192)</f>
        <v>167</v>
      </c>
      <c r="B192" s="82" t="s">
        <v>46</v>
      </c>
      <c r="C192" s="79" t="s">
        <v>252</v>
      </c>
      <c r="D192" s="79">
        <v>0.25800000000000001</v>
      </c>
      <c r="E192" s="83">
        <v>10</v>
      </c>
      <c r="F192" s="38"/>
      <c r="G192" s="38"/>
      <c r="H192" s="38"/>
      <c r="I192" s="38"/>
      <c r="J192" s="38"/>
      <c r="K192" s="38"/>
      <c r="L192" s="38"/>
      <c r="M192" s="39"/>
      <c r="N192" s="39"/>
      <c r="O192" s="39"/>
      <c r="P192" s="40"/>
      <c r="Q192" s="75">
        <f t="shared" si="13"/>
        <v>0</v>
      </c>
      <c r="R192" s="73">
        <f t="shared" si="11"/>
        <v>0</v>
      </c>
    </row>
    <row r="193" spans="1:18" ht="15.75" x14ac:dyDescent="0.25">
      <c r="A193" s="33">
        <f>_xlfn.AGGREGATE(3,5,$B$26:B193)</f>
        <v>168</v>
      </c>
      <c r="B193" s="82" t="s">
        <v>236</v>
      </c>
      <c r="C193" s="79" t="s">
        <v>237</v>
      </c>
      <c r="D193" s="79">
        <f>1.8/6</f>
        <v>0.3</v>
      </c>
      <c r="E193" s="83">
        <v>10</v>
      </c>
      <c r="F193" s="38"/>
      <c r="G193" s="38"/>
      <c r="H193" s="38"/>
      <c r="I193" s="38"/>
      <c r="J193" s="38"/>
      <c r="K193" s="38"/>
      <c r="L193" s="38"/>
      <c r="M193" s="39"/>
      <c r="N193" s="39"/>
      <c r="O193" s="39"/>
      <c r="P193" s="40"/>
      <c r="Q193" s="75">
        <f t="shared" si="13"/>
        <v>0</v>
      </c>
      <c r="R193" s="73">
        <f t="shared" si="11"/>
        <v>0</v>
      </c>
    </row>
    <row r="194" spans="1:18" ht="15.75" x14ac:dyDescent="0.25">
      <c r="A194" s="33">
        <f>_xlfn.AGGREGATE(3,5,$B$26:B194)</f>
        <v>169</v>
      </c>
      <c r="B194" s="82" t="s">
        <v>255</v>
      </c>
      <c r="C194" s="79" t="s">
        <v>256</v>
      </c>
      <c r="D194" s="79">
        <v>1.66</v>
      </c>
      <c r="E194" s="83">
        <v>1</v>
      </c>
      <c r="F194" s="38"/>
      <c r="G194" s="38"/>
      <c r="H194" s="38"/>
      <c r="I194" s="38"/>
      <c r="J194" s="38"/>
      <c r="K194" s="38"/>
      <c r="L194" s="38"/>
      <c r="M194" s="39"/>
      <c r="N194" s="39"/>
      <c r="O194" s="39"/>
      <c r="P194" s="40"/>
      <c r="Q194" s="75">
        <f t="shared" si="13"/>
        <v>0</v>
      </c>
      <c r="R194" s="73">
        <f t="shared" si="11"/>
        <v>0</v>
      </c>
    </row>
    <row r="195" spans="1:18" ht="15.75" x14ac:dyDescent="0.25">
      <c r="A195" s="33">
        <f>_xlfn.AGGREGATE(3,5,$B$26:B195)</f>
        <v>170</v>
      </c>
      <c r="B195" s="82" t="s">
        <v>255</v>
      </c>
      <c r="C195" s="79" t="s">
        <v>315</v>
      </c>
      <c r="D195" s="79">
        <v>1.66</v>
      </c>
      <c r="E195" s="83">
        <v>1</v>
      </c>
      <c r="F195" s="38"/>
      <c r="G195" s="38"/>
      <c r="H195" s="38"/>
      <c r="I195" s="38"/>
      <c r="J195" s="38"/>
      <c r="K195" s="38"/>
      <c r="L195" s="38"/>
      <c r="M195" s="39"/>
      <c r="N195" s="39"/>
      <c r="O195" s="39"/>
      <c r="P195" s="40"/>
      <c r="Q195" s="75">
        <f t="shared" si="13"/>
        <v>0</v>
      </c>
      <c r="R195" s="73">
        <f t="shared" si="11"/>
        <v>0</v>
      </c>
    </row>
    <row r="196" spans="1:18" ht="15.75" x14ac:dyDescent="0.25">
      <c r="A196" s="33">
        <f>_xlfn.AGGREGATE(3,5,$B$26:B196)</f>
        <v>171</v>
      </c>
      <c r="B196" s="82" t="s">
        <v>316</v>
      </c>
      <c r="C196" s="79" t="s">
        <v>317</v>
      </c>
      <c r="D196" s="79"/>
      <c r="E196" s="83">
        <v>10</v>
      </c>
      <c r="F196" s="38"/>
      <c r="G196" s="38"/>
      <c r="H196" s="38"/>
      <c r="I196" s="38"/>
      <c r="J196" s="38"/>
      <c r="K196" s="38"/>
      <c r="L196" s="38"/>
      <c r="M196" s="39"/>
      <c r="N196" s="39"/>
      <c r="O196" s="39"/>
      <c r="P196" s="40"/>
      <c r="Q196" s="75">
        <f t="shared" si="13"/>
        <v>0</v>
      </c>
      <c r="R196" s="73">
        <f t="shared" si="11"/>
        <v>0</v>
      </c>
    </row>
    <row r="197" spans="1:18" ht="15.75" x14ac:dyDescent="0.25">
      <c r="A197" s="33">
        <f>_xlfn.AGGREGATE(3,5,$B$26:B197)</f>
        <v>172</v>
      </c>
      <c r="B197" s="82" t="s">
        <v>356</v>
      </c>
      <c r="C197" s="79" t="s">
        <v>318</v>
      </c>
      <c r="D197" s="79">
        <v>1.2569999999999999</v>
      </c>
      <c r="E197" s="83">
        <v>4</v>
      </c>
      <c r="F197" s="38"/>
      <c r="G197" s="38"/>
      <c r="H197" s="38"/>
      <c r="I197" s="38"/>
      <c r="J197" s="38"/>
      <c r="K197" s="38"/>
      <c r="L197" s="38"/>
      <c r="M197" s="39"/>
      <c r="N197" s="39"/>
      <c r="O197" s="39"/>
      <c r="P197" s="40"/>
      <c r="Q197" s="75">
        <f t="shared" si="13"/>
        <v>0</v>
      </c>
      <c r="R197" s="73">
        <f t="shared" si="11"/>
        <v>0</v>
      </c>
    </row>
    <row r="198" spans="1:18" ht="15.75" x14ac:dyDescent="0.25">
      <c r="A198" s="33">
        <f>_xlfn.AGGREGATE(3,5,$B$26:B198)</f>
        <v>173</v>
      </c>
      <c r="B198" s="82" t="s">
        <v>319</v>
      </c>
      <c r="C198" s="79" t="s">
        <v>320</v>
      </c>
      <c r="D198" s="79">
        <v>1.4410000000000001</v>
      </c>
      <c r="E198" s="83">
        <v>4</v>
      </c>
      <c r="F198" s="38"/>
      <c r="G198" s="38"/>
      <c r="H198" s="38"/>
      <c r="I198" s="38"/>
      <c r="J198" s="38"/>
      <c r="K198" s="38"/>
      <c r="L198" s="38"/>
      <c r="M198" s="39"/>
      <c r="N198" s="39"/>
      <c r="O198" s="39"/>
      <c r="P198" s="40"/>
      <c r="Q198" s="75">
        <f t="shared" si="13"/>
        <v>0</v>
      </c>
      <c r="R198" s="73">
        <f t="shared" si="11"/>
        <v>0</v>
      </c>
    </row>
    <row r="199" spans="1:18" ht="15.75" x14ac:dyDescent="0.25">
      <c r="A199" s="33">
        <f>_xlfn.AGGREGATE(3,5,$B$26:B199)</f>
        <v>174</v>
      </c>
      <c r="B199" s="82" t="s">
        <v>357</v>
      </c>
      <c r="C199" s="79" t="s">
        <v>321</v>
      </c>
      <c r="D199" s="79">
        <v>1.4419999999999999</v>
      </c>
      <c r="E199" s="83">
        <v>4</v>
      </c>
      <c r="F199" s="38"/>
      <c r="G199" s="38"/>
      <c r="H199" s="38"/>
      <c r="I199" s="38"/>
      <c r="J199" s="38"/>
      <c r="K199" s="38"/>
      <c r="L199" s="38"/>
      <c r="M199" s="39"/>
      <c r="N199" s="39"/>
      <c r="O199" s="39"/>
      <c r="P199" s="40"/>
      <c r="Q199" s="75">
        <f t="shared" si="13"/>
        <v>0</v>
      </c>
      <c r="R199" s="73">
        <f t="shared" si="11"/>
        <v>0</v>
      </c>
    </row>
    <row r="200" spans="1:18" ht="15.75" x14ac:dyDescent="0.25">
      <c r="A200" s="33">
        <f>_xlfn.AGGREGATE(3,5,$B$26:B200)</f>
        <v>175</v>
      </c>
      <c r="B200" s="82" t="s">
        <v>322</v>
      </c>
      <c r="C200" s="79" t="s">
        <v>323</v>
      </c>
      <c r="D200" s="79">
        <v>2.0230000000000001</v>
      </c>
      <c r="E200" s="83">
        <v>2</v>
      </c>
      <c r="F200" s="38"/>
      <c r="G200" s="38"/>
      <c r="H200" s="38"/>
      <c r="I200" s="38"/>
      <c r="J200" s="38"/>
      <c r="K200" s="38"/>
      <c r="L200" s="38"/>
      <c r="M200" s="39"/>
      <c r="N200" s="39"/>
      <c r="O200" s="39"/>
      <c r="P200" s="40"/>
      <c r="Q200" s="75">
        <f t="shared" si="13"/>
        <v>0</v>
      </c>
      <c r="R200" s="73">
        <f t="shared" si="11"/>
        <v>0</v>
      </c>
    </row>
    <row r="201" spans="1:18" ht="15.75" x14ac:dyDescent="0.25">
      <c r="A201" s="33">
        <f>_xlfn.AGGREGATE(3,5,$B$26:B201)</f>
        <v>176</v>
      </c>
      <c r="B201" s="82" t="s">
        <v>324</v>
      </c>
      <c r="C201" s="79" t="s">
        <v>325</v>
      </c>
      <c r="D201" s="79">
        <v>0.876</v>
      </c>
      <c r="E201" s="83">
        <v>4</v>
      </c>
      <c r="F201" s="38"/>
      <c r="G201" s="38"/>
      <c r="H201" s="38"/>
      <c r="I201" s="38"/>
      <c r="J201" s="38"/>
      <c r="K201" s="38"/>
      <c r="L201" s="38"/>
      <c r="M201" s="39"/>
      <c r="N201" s="39"/>
      <c r="O201" s="39"/>
      <c r="P201" s="40"/>
      <c r="Q201" s="75">
        <f t="shared" si="13"/>
        <v>0</v>
      </c>
      <c r="R201" s="73">
        <f t="shared" si="11"/>
        <v>0</v>
      </c>
    </row>
    <row r="202" spans="1:18" ht="15.75" x14ac:dyDescent="0.25">
      <c r="A202" s="33">
        <f>_xlfn.AGGREGATE(3,5,$B$26:B202)</f>
        <v>177</v>
      </c>
      <c r="B202" s="82" t="s">
        <v>326</v>
      </c>
      <c r="C202" s="79" t="s">
        <v>327</v>
      </c>
      <c r="D202" s="79">
        <v>1.0880000000000001</v>
      </c>
      <c r="E202" s="83">
        <v>4</v>
      </c>
      <c r="F202" s="38"/>
      <c r="G202" s="38"/>
      <c r="H202" s="38"/>
      <c r="I202" s="38"/>
      <c r="J202" s="38"/>
      <c r="K202" s="38"/>
      <c r="L202" s="38"/>
      <c r="M202" s="39"/>
      <c r="N202" s="39"/>
      <c r="O202" s="39"/>
      <c r="P202" s="40"/>
      <c r="Q202" s="75">
        <f t="shared" si="13"/>
        <v>0</v>
      </c>
      <c r="R202" s="73">
        <f t="shared" si="11"/>
        <v>0</v>
      </c>
    </row>
    <row r="203" spans="1:18" ht="17.25" customHeight="1" x14ac:dyDescent="0.25">
      <c r="A203" s="33">
        <f>_xlfn.AGGREGATE(3,5,$B$26:B203)</f>
        <v>178</v>
      </c>
      <c r="B203" s="82" t="s">
        <v>328</v>
      </c>
      <c r="C203" s="79" t="s">
        <v>329</v>
      </c>
      <c r="D203" s="79">
        <v>1.01</v>
      </c>
      <c r="E203" s="83">
        <v>4</v>
      </c>
      <c r="F203" s="38"/>
      <c r="G203" s="38"/>
      <c r="H203" s="38"/>
      <c r="I203" s="38"/>
      <c r="J203" s="38"/>
      <c r="K203" s="38"/>
      <c r="L203" s="38"/>
      <c r="M203" s="39"/>
      <c r="N203" s="39"/>
      <c r="O203" s="39"/>
      <c r="P203" s="40"/>
      <c r="Q203" s="75">
        <f t="shared" si="13"/>
        <v>0</v>
      </c>
      <c r="R203" s="73">
        <f t="shared" si="11"/>
        <v>0</v>
      </c>
    </row>
    <row r="204" spans="1:18" ht="15.75" x14ac:dyDescent="0.25">
      <c r="A204" s="33">
        <f>_xlfn.AGGREGATE(3,5,$B$26:B204)</f>
        <v>179</v>
      </c>
      <c r="B204" s="82" t="s">
        <v>330</v>
      </c>
      <c r="C204" s="79" t="s">
        <v>380</v>
      </c>
      <c r="D204" s="79">
        <v>0.80200000000000005</v>
      </c>
      <c r="E204" s="83">
        <v>4</v>
      </c>
      <c r="F204" s="38"/>
      <c r="G204" s="38"/>
      <c r="H204" s="38"/>
      <c r="I204" s="38"/>
      <c r="J204" s="38"/>
      <c r="K204" s="38"/>
      <c r="L204" s="38"/>
      <c r="M204" s="39"/>
      <c r="N204" s="39"/>
      <c r="O204" s="39"/>
      <c r="P204" s="40"/>
      <c r="Q204" s="75">
        <f t="shared" si="13"/>
        <v>0</v>
      </c>
      <c r="R204" s="73">
        <f t="shared" si="11"/>
        <v>0</v>
      </c>
    </row>
    <row r="205" spans="1:18" ht="15.75" x14ac:dyDescent="0.25">
      <c r="A205" s="33">
        <f>_xlfn.AGGREGATE(3,5,$B$26:B205)</f>
        <v>180</v>
      </c>
      <c r="B205" s="82" t="s">
        <v>331</v>
      </c>
      <c r="C205" s="79" t="s">
        <v>332</v>
      </c>
      <c r="D205" s="79">
        <v>0.95</v>
      </c>
      <c r="E205" s="83">
        <v>4</v>
      </c>
      <c r="F205" s="38"/>
      <c r="G205" s="38"/>
      <c r="H205" s="38"/>
      <c r="I205" s="38"/>
      <c r="J205" s="38"/>
      <c r="K205" s="38"/>
      <c r="L205" s="38"/>
      <c r="M205" s="39"/>
      <c r="N205" s="39"/>
      <c r="O205" s="39"/>
      <c r="P205" s="40"/>
      <c r="Q205" s="75">
        <f t="shared" si="13"/>
        <v>0</v>
      </c>
      <c r="R205" s="73">
        <f t="shared" si="11"/>
        <v>0</v>
      </c>
    </row>
    <row r="206" spans="1:18" ht="15.75" x14ac:dyDescent="0.25">
      <c r="A206" s="33">
        <f>_xlfn.AGGREGATE(3,5,$B$26:B206)</f>
        <v>181</v>
      </c>
      <c r="B206" s="82" t="s">
        <v>333</v>
      </c>
      <c r="C206" s="79" t="s">
        <v>345</v>
      </c>
      <c r="D206" s="79">
        <v>1.0860000000000001</v>
      </c>
      <c r="E206" s="83">
        <v>4</v>
      </c>
      <c r="F206" s="38"/>
      <c r="G206" s="38"/>
      <c r="H206" s="38"/>
      <c r="I206" s="38"/>
      <c r="J206" s="38"/>
      <c r="K206" s="38"/>
      <c r="L206" s="38"/>
      <c r="M206" s="39"/>
      <c r="N206" s="39"/>
      <c r="O206" s="39"/>
      <c r="P206" s="40"/>
      <c r="Q206" s="75">
        <f t="shared" si="13"/>
        <v>0</v>
      </c>
      <c r="R206" s="73">
        <f t="shared" si="11"/>
        <v>0</v>
      </c>
    </row>
    <row r="207" spans="1:18" ht="15.75" x14ac:dyDescent="0.25">
      <c r="A207" s="33">
        <f>_xlfn.AGGREGATE(3,5,$B$26:B207)</f>
        <v>182</v>
      </c>
      <c r="B207" s="82" t="s">
        <v>334</v>
      </c>
      <c r="C207" s="79" t="s">
        <v>335</v>
      </c>
      <c r="D207" s="79">
        <v>0.34699999999999998</v>
      </c>
      <c r="E207" s="83">
        <v>10</v>
      </c>
      <c r="F207" s="38"/>
      <c r="G207" s="38"/>
      <c r="H207" s="38"/>
      <c r="I207" s="38"/>
      <c r="J207" s="38"/>
      <c r="K207" s="38"/>
      <c r="L207" s="38"/>
      <c r="M207" s="39"/>
      <c r="N207" s="39"/>
      <c r="O207" s="39"/>
      <c r="P207" s="40"/>
      <c r="Q207" s="75">
        <f t="shared" si="13"/>
        <v>0</v>
      </c>
      <c r="R207" s="73">
        <f t="shared" si="11"/>
        <v>0</v>
      </c>
    </row>
    <row r="208" spans="1:18" ht="15.75" x14ac:dyDescent="0.25">
      <c r="A208" s="33">
        <f>_xlfn.AGGREGATE(3,5,$B$26:B208)</f>
        <v>183</v>
      </c>
      <c r="B208" s="82" t="s">
        <v>336</v>
      </c>
      <c r="C208" s="79" t="s">
        <v>352</v>
      </c>
      <c r="D208" s="79">
        <v>0.27100000000000002</v>
      </c>
      <c r="E208" s="83">
        <v>10</v>
      </c>
      <c r="F208" s="38"/>
      <c r="G208" s="38"/>
      <c r="H208" s="38"/>
      <c r="I208" s="38"/>
      <c r="J208" s="38"/>
      <c r="K208" s="38"/>
      <c r="L208" s="38"/>
      <c r="M208" s="39"/>
      <c r="N208" s="39"/>
      <c r="O208" s="39"/>
      <c r="P208" s="40"/>
      <c r="Q208" s="75">
        <f t="shared" si="13"/>
        <v>0</v>
      </c>
      <c r="R208" s="73">
        <f t="shared" si="11"/>
        <v>0</v>
      </c>
    </row>
    <row r="209" spans="1:18" ht="15.75" x14ac:dyDescent="0.25">
      <c r="A209" s="33">
        <f>_xlfn.AGGREGATE(3,5,$B$26:B209)</f>
        <v>184</v>
      </c>
      <c r="B209" s="82" t="s">
        <v>337</v>
      </c>
      <c r="C209" s="79" t="s">
        <v>338</v>
      </c>
      <c r="D209" s="79">
        <v>0.221</v>
      </c>
      <c r="E209" s="83">
        <v>16</v>
      </c>
      <c r="F209" s="38"/>
      <c r="G209" s="38"/>
      <c r="H209" s="38"/>
      <c r="I209" s="38"/>
      <c r="J209" s="38"/>
      <c r="K209" s="38"/>
      <c r="L209" s="38"/>
      <c r="M209" s="39"/>
      <c r="N209" s="39"/>
      <c r="O209" s="39"/>
      <c r="P209" s="40"/>
      <c r="Q209" s="75">
        <f t="shared" ref="Q209:Q240" si="14">SUM(F209:P209)*E209</f>
        <v>0</v>
      </c>
      <c r="R209" s="73">
        <f t="shared" si="11"/>
        <v>0</v>
      </c>
    </row>
    <row r="210" spans="1:18" ht="15.75" x14ac:dyDescent="0.25">
      <c r="A210" s="33">
        <f>_xlfn.AGGREGATE(3,5,$B$26:B210)</f>
        <v>185</v>
      </c>
      <c r="B210" s="82" t="s">
        <v>339</v>
      </c>
      <c r="C210" s="79" t="s">
        <v>340</v>
      </c>
      <c r="D210" s="79">
        <v>0.25700000000000001</v>
      </c>
      <c r="E210" s="83">
        <v>12</v>
      </c>
      <c r="F210" s="38"/>
      <c r="G210" s="38"/>
      <c r="H210" s="38"/>
      <c r="I210" s="38"/>
      <c r="J210" s="38"/>
      <c r="K210" s="38"/>
      <c r="L210" s="38"/>
      <c r="M210" s="39"/>
      <c r="N210" s="39"/>
      <c r="O210" s="39"/>
      <c r="P210" s="40"/>
      <c r="Q210" s="75">
        <f t="shared" si="14"/>
        <v>0</v>
      </c>
      <c r="R210" s="73">
        <f t="shared" si="11"/>
        <v>0</v>
      </c>
    </row>
    <row r="211" spans="1:18" ht="15.75" x14ac:dyDescent="0.25">
      <c r="A211" s="33">
        <f>_xlfn.AGGREGATE(3,5,$B$26:B211)</f>
        <v>186</v>
      </c>
      <c r="B211" s="82" t="s">
        <v>341</v>
      </c>
      <c r="C211" s="79" t="s">
        <v>342</v>
      </c>
      <c r="D211" s="79">
        <v>0.21299999999999999</v>
      </c>
      <c r="E211" s="83"/>
      <c r="F211" s="38"/>
      <c r="G211" s="38"/>
      <c r="H211" s="38"/>
      <c r="I211" s="38"/>
      <c r="J211" s="38"/>
      <c r="K211" s="38"/>
      <c r="L211" s="38"/>
      <c r="M211" s="39"/>
      <c r="N211" s="39"/>
      <c r="O211" s="39"/>
      <c r="P211" s="40"/>
      <c r="Q211" s="75">
        <f t="shared" si="14"/>
        <v>0</v>
      </c>
      <c r="R211" s="73">
        <f t="shared" si="11"/>
        <v>0</v>
      </c>
    </row>
    <row r="212" spans="1:18" ht="15.75" x14ac:dyDescent="0.25">
      <c r="A212" s="33">
        <f>_xlfn.AGGREGATE(3,5,$B$26:B212)</f>
        <v>187</v>
      </c>
      <c r="B212" s="82" t="s">
        <v>343</v>
      </c>
      <c r="C212" s="79" t="s">
        <v>344</v>
      </c>
      <c r="D212" s="79">
        <v>0.76</v>
      </c>
      <c r="E212" s="83"/>
      <c r="F212" s="38"/>
      <c r="G212" s="38"/>
      <c r="H212" s="38"/>
      <c r="I212" s="38"/>
      <c r="J212" s="38"/>
      <c r="K212" s="38"/>
      <c r="L212" s="38"/>
      <c r="M212" s="39"/>
      <c r="N212" s="39"/>
      <c r="O212" s="39"/>
      <c r="P212" s="40"/>
      <c r="Q212" s="75">
        <f t="shared" si="14"/>
        <v>0</v>
      </c>
      <c r="R212" s="73">
        <f t="shared" si="11"/>
        <v>0</v>
      </c>
    </row>
    <row r="213" spans="1:18" ht="15.75" x14ac:dyDescent="0.25">
      <c r="A213" s="33">
        <f>_xlfn.AGGREGATE(3,5,$B$26:B213)</f>
        <v>188</v>
      </c>
      <c r="B213" s="82" t="s">
        <v>353</v>
      </c>
      <c r="C213" s="79" t="s">
        <v>354</v>
      </c>
      <c r="D213" s="79">
        <v>1.05</v>
      </c>
      <c r="E213" s="83">
        <v>4</v>
      </c>
      <c r="F213" s="38"/>
      <c r="G213" s="38"/>
      <c r="H213" s="38"/>
      <c r="I213" s="38"/>
      <c r="J213" s="38"/>
      <c r="K213" s="38"/>
      <c r="L213" s="38"/>
      <c r="M213" s="39"/>
      <c r="N213" s="39"/>
      <c r="O213" s="39"/>
      <c r="P213" s="40"/>
      <c r="Q213" s="75">
        <f t="shared" si="14"/>
        <v>0</v>
      </c>
      <c r="R213" s="73">
        <f t="shared" si="11"/>
        <v>0</v>
      </c>
    </row>
    <row r="214" spans="1:18" ht="15.75" x14ac:dyDescent="0.25">
      <c r="A214" s="33">
        <f>_xlfn.AGGREGATE(3,5,$B$26:B214)</f>
        <v>189</v>
      </c>
      <c r="B214" s="82" t="s">
        <v>394</v>
      </c>
      <c r="C214" s="79" t="s">
        <v>395</v>
      </c>
      <c r="D214" s="79">
        <v>0.86899999999999999</v>
      </c>
      <c r="E214" s="83">
        <v>4</v>
      </c>
      <c r="F214" s="38"/>
      <c r="G214" s="38"/>
      <c r="H214" s="38"/>
      <c r="I214" s="38"/>
      <c r="J214" s="38"/>
      <c r="K214" s="38"/>
      <c r="L214" s="38"/>
      <c r="M214" s="39"/>
      <c r="N214" s="39"/>
      <c r="O214" s="39"/>
      <c r="P214" s="40"/>
      <c r="Q214" s="75">
        <f t="shared" si="14"/>
        <v>0</v>
      </c>
      <c r="R214" s="73">
        <f t="shared" si="11"/>
        <v>0</v>
      </c>
    </row>
    <row r="215" spans="1:18" ht="15.75" x14ac:dyDescent="0.25">
      <c r="A215" s="33">
        <f>_xlfn.AGGREGATE(3,5,$B$26:B215)</f>
        <v>190</v>
      </c>
      <c r="B215" s="82" t="s">
        <v>356</v>
      </c>
      <c r="C215" s="79" t="s">
        <v>318</v>
      </c>
      <c r="D215" s="79">
        <v>0.95799999999999996</v>
      </c>
      <c r="E215" s="83">
        <v>4</v>
      </c>
      <c r="F215" s="38"/>
      <c r="G215" s="38"/>
      <c r="H215" s="38"/>
      <c r="I215" s="38"/>
      <c r="J215" s="38"/>
      <c r="K215" s="38"/>
      <c r="L215" s="38"/>
      <c r="M215" s="39"/>
      <c r="N215" s="39"/>
      <c r="O215" s="39"/>
      <c r="P215" s="40"/>
      <c r="Q215" s="75">
        <f t="shared" si="14"/>
        <v>0</v>
      </c>
      <c r="R215" s="73">
        <f t="shared" si="11"/>
        <v>0</v>
      </c>
    </row>
    <row r="216" spans="1:18" ht="15.75" x14ac:dyDescent="0.25">
      <c r="A216" s="33">
        <f>_xlfn.AGGREGATE(3,5,$B$26:B216)</f>
        <v>191</v>
      </c>
      <c r="B216" s="82" t="s">
        <v>319</v>
      </c>
      <c r="C216" s="79" t="s">
        <v>320</v>
      </c>
      <c r="D216" s="79">
        <v>1.157</v>
      </c>
      <c r="E216" s="83">
        <v>2</v>
      </c>
      <c r="F216" s="38"/>
      <c r="G216" s="38"/>
      <c r="H216" s="38"/>
      <c r="I216" s="38"/>
      <c r="J216" s="38"/>
      <c r="K216" s="38"/>
      <c r="L216" s="38"/>
      <c r="M216" s="39"/>
      <c r="N216" s="39"/>
      <c r="O216" s="39"/>
      <c r="P216" s="40"/>
      <c r="Q216" s="75">
        <f t="shared" si="14"/>
        <v>0</v>
      </c>
      <c r="R216" s="73">
        <f t="shared" si="11"/>
        <v>0</v>
      </c>
    </row>
    <row r="217" spans="1:18" ht="15.75" x14ac:dyDescent="0.25">
      <c r="A217" s="33">
        <f>_xlfn.AGGREGATE(3,5,$B$26:B217)</f>
        <v>192</v>
      </c>
      <c r="B217" s="82" t="s">
        <v>357</v>
      </c>
      <c r="C217" s="79" t="s">
        <v>321</v>
      </c>
      <c r="D217" s="79">
        <v>1.1879999999999999</v>
      </c>
      <c r="E217" s="83">
        <v>2</v>
      </c>
      <c r="F217" s="38"/>
      <c r="G217" s="38"/>
      <c r="H217" s="38"/>
      <c r="I217" s="38"/>
      <c r="J217" s="38"/>
      <c r="K217" s="38"/>
      <c r="L217" s="38"/>
      <c r="M217" s="39"/>
      <c r="N217" s="39"/>
      <c r="O217" s="39"/>
      <c r="P217" s="40"/>
      <c r="Q217" s="75">
        <f t="shared" si="14"/>
        <v>0</v>
      </c>
      <c r="R217" s="73">
        <f t="shared" si="11"/>
        <v>0</v>
      </c>
    </row>
    <row r="218" spans="1:18" ht="15.75" x14ac:dyDescent="0.25">
      <c r="A218" s="33">
        <f>_xlfn.AGGREGATE(3,5,$B$26:B218)</f>
        <v>193</v>
      </c>
      <c r="B218" s="82" t="s">
        <v>358</v>
      </c>
      <c r="C218" s="79" t="s">
        <v>323</v>
      </c>
      <c r="D218" s="79">
        <v>1.5289999999999999</v>
      </c>
      <c r="E218" s="83">
        <v>2</v>
      </c>
      <c r="F218" s="38"/>
      <c r="G218" s="38"/>
      <c r="H218" s="38"/>
      <c r="I218" s="38"/>
      <c r="J218" s="38"/>
      <c r="K218" s="38"/>
      <c r="L218" s="38"/>
      <c r="M218" s="39"/>
      <c r="N218" s="39"/>
      <c r="O218" s="39"/>
      <c r="P218" s="40"/>
      <c r="Q218" s="75">
        <f t="shared" si="14"/>
        <v>0</v>
      </c>
      <c r="R218" s="73">
        <f t="shared" ref="R218:R247" si="15">Q218*D218*6</f>
        <v>0</v>
      </c>
    </row>
    <row r="219" spans="1:18" ht="15.75" x14ac:dyDescent="0.25">
      <c r="A219" s="33">
        <f>_xlfn.AGGREGATE(3,5,$B$26:B219)</f>
        <v>194</v>
      </c>
      <c r="B219" s="82" t="s">
        <v>359</v>
      </c>
      <c r="C219" s="79" t="s">
        <v>325</v>
      </c>
      <c r="D219" s="79">
        <v>0.751</v>
      </c>
      <c r="E219" s="83">
        <v>4</v>
      </c>
      <c r="F219" s="38"/>
      <c r="G219" s="38"/>
      <c r="H219" s="38"/>
      <c r="I219" s="38"/>
      <c r="J219" s="38"/>
      <c r="K219" s="38"/>
      <c r="L219" s="38"/>
      <c r="M219" s="39"/>
      <c r="N219" s="39"/>
      <c r="O219" s="39"/>
      <c r="P219" s="40"/>
      <c r="Q219" s="75">
        <f t="shared" si="14"/>
        <v>0</v>
      </c>
      <c r="R219" s="73">
        <f t="shared" si="15"/>
        <v>0</v>
      </c>
    </row>
    <row r="220" spans="1:18" ht="15.75" x14ac:dyDescent="0.25">
      <c r="A220" s="33">
        <f>_xlfn.AGGREGATE(3,5,$B$26:B220)</f>
        <v>195</v>
      </c>
      <c r="B220" s="82" t="s">
        <v>360</v>
      </c>
      <c r="C220" s="79" t="s">
        <v>327</v>
      </c>
      <c r="D220" s="79">
        <v>0.98099999999999998</v>
      </c>
      <c r="E220" s="83">
        <v>4</v>
      </c>
      <c r="F220" s="38"/>
      <c r="G220" s="38"/>
      <c r="H220" s="38"/>
      <c r="I220" s="38"/>
      <c r="J220" s="38"/>
      <c r="K220" s="38"/>
      <c r="L220" s="38"/>
      <c r="M220" s="39"/>
      <c r="N220" s="39"/>
      <c r="O220" s="39"/>
      <c r="P220" s="40"/>
      <c r="Q220" s="75">
        <f t="shared" si="14"/>
        <v>0</v>
      </c>
      <c r="R220" s="73">
        <f t="shared" si="15"/>
        <v>0</v>
      </c>
    </row>
    <row r="221" spans="1:18" ht="15.75" x14ac:dyDescent="0.25">
      <c r="A221" s="33">
        <f>_xlfn.AGGREGATE(3,5,$B$26:B221)</f>
        <v>196</v>
      </c>
      <c r="B221" s="82" t="s">
        <v>328</v>
      </c>
      <c r="C221" s="79" t="s">
        <v>329</v>
      </c>
      <c r="D221" s="79">
        <v>0.90500000000000003</v>
      </c>
      <c r="E221" s="83">
        <v>4</v>
      </c>
      <c r="F221" s="38"/>
      <c r="G221" s="38"/>
      <c r="H221" s="38"/>
      <c r="I221" s="38"/>
      <c r="J221" s="38"/>
      <c r="K221" s="38"/>
      <c r="L221" s="38"/>
      <c r="M221" s="39"/>
      <c r="N221" s="39"/>
      <c r="O221" s="39"/>
      <c r="P221" s="40"/>
      <c r="Q221" s="75">
        <f t="shared" si="14"/>
        <v>0</v>
      </c>
      <c r="R221" s="73">
        <f t="shared" si="15"/>
        <v>0</v>
      </c>
    </row>
    <row r="222" spans="1:18" ht="15.75" x14ac:dyDescent="0.25">
      <c r="A222" s="33">
        <f>_xlfn.AGGREGATE(3,5,$B$26:B222)</f>
        <v>197</v>
      </c>
      <c r="B222" s="82" t="s">
        <v>364</v>
      </c>
      <c r="C222" s="79" t="s">
        <v>361</v>
      </c>
      <c r="D222" s="79">
        <v>0.80200000000000005</v>
      </c>
      <c r="E222" s="83">
        <v>4</v>
      </c>
      <c r="F222" s="38"/>
      <c r="G222" s="38"/>
      <c r="H222" s="38"/>
      <c r="I222" s="38"/>
      <c r="J222" s="38"/>
      <c r="K222" s="38"/>
      <c r="L222" s="38"/>
      <c r="M222" s="39"/>
      <c r="N222" s="39"/>
      <c r="O222" s="39"/>
      <c r="P222" s="40"/>
      <c r="Q222" s="75">
        <f t="shared" si="14"/>
        <v>0</v>
      </c>
      <c r="R222" s="73">
        <f t="shared" si="15"/>
        <v>0</v>
      </c>
    </row>
    <row r="223" spans="1:18" ht="15.75" x14ac:dyDescent="0.25">
      <c r="A223" s="33">
        <f>_xlfn.AGGREGATE(3,5,$B$26:B223)</f>
        <v>198</v>
      </c>
      <c r="B223" s="82" t="s">
        <v>331</v>
      </c>
      <c r="C223" s="79" t="s">
        <v>332</v>
      </c>
      <c r="D223" s="79">
        <v>0.95</v>
      </c>
      <c r="E223" s="83">
        <v>4</v>
      </c>
      <c r="F223" s="38"/>
      <c r="G223" s="38"/>
      <c r="H223" s="38"/>
      <c r="I223" s="38"/>
      <c r="J223" s="38"/>
      <c r="K223" s="38"/>
      <c r="L223" s="38"/>
      <c r="M223" s="39"/>
      <c r="N223" s="39"/>
      <c r="O223" s="39"/>
      <c r="P223" s="40"/>
      <c r="Q223" s="75">
        <f t="shared" si="14"/>
        <v>0</v>
      </c>
      <c r="R223" s="73">
        <f t="shared" si="15"/>
        <v>0</v>
      </c>
    </row>
    <row r="224" spans="1:18" ht="15.75" x14ac:dyDescent="0.25">
      <c r="A224" s="33">
        <f>_xlfn.AGGREGATE(3,5,$B$26:B224)</f>
        <v>199</v>
      </c>
      <c r="B224" s="82" t="s">
        <v>362</v>
      </c>
      <c r="C224" s="79" t="s">
        <v>345</v>
      </c>
      <c r="D224" s="79">
        <v>1.0860000000000001</v>
      </c>
      <c r="E224" s="83">
        <v>4</v>
      </c>
      <c r="F224" s="38"/>
      <c r="G224" s="38"/>
      <c r="H224" s="38"/>
      <c r="I224" s="38"/>
      <c r="J224" s="38"/>
      <c r="K224" s="38"/>
      <c r="L224" s="38"/>
      <c r="M224" s="39"/>
      <c r="N224" s="39"/>
      <c r="O224" s="39"/>
      <c r="P224" s="40"/>
      <c r="Q224" s="75">
        <f t="shared" si="14"/>
        <v>0</v>
      </c>
      <c r="R224" s="73">
        <f t="shared" si="15"/>
        <v>0</v>
      </c>
    </row>
    <row r="225" spans="1:18" ht="15.75" x14ac:dyDescent="0.25">
      <c r="A225" s="33">
        <f>_xlfn.AGGREGATE(3,5,$B$26:B225)</f>
        <v>200</v>
      </c>
      <c r="B225" s="82" t="s">
        <v>336</v>
      </c>
      <c r="C225" s="79" t="s">
        <v>352</v>
      </c>
      <c r="D225" s="79">
        <v>0.27100000000000002</v>
      </c>
      <c r="E225" s="83">
        <v>10</v>
      </c>
      <c r="F225" s="38"/>
      <c r="G225" s="38"/>
      <c r="H225" s="38"/>
      <c r="I225" s="38"/>
      <c r="J225" s="38"/>
      <c r="K225" s="38"/>
      <c r="L225" s="38"/>
      <c r="M225" s="39"/>
      <c r="N225" s="39"/>
      <c r="O225" s="39"/>
      <c r="P225" s="40"/>
      <c r="Q225" s="75">
        <f t="shared" si="14"/>
        <v>0</v>
      </c>
      <c r="R225" s="73">
        <f t="shared" si="15"/>
        <v>0</v>
      </c>
    </row>
    <row r="226" spans="1:18" ht="15.75" x14ac:dyDescent="0.25">
      <c r="A226" s="33">
        <f>_xlfn.AGGREGATE(3,5,$B$26:B226)</f>
        <v>201</v>
      </c>
      <c r="B226" s="82" t="s">
        <v>339</v>
      </c>
      <c r="C226" s="79" t="s">
        <v>340</v>
      </c>
      <c r="D226" s="79">
        <v>0.23699999999999999</v>
      </c>
      <c r="E226" s="83">
        <v>10</v>
      </c>
      <c r="F226" s="38"/>
      <c r="G226" s="38"/>
      <c r="H226" s="38"/>
      <c r="I226" s="38"/>
      <c r="J226" s="38"/>
      <c r="K226" s="38"/>
      <c r="L226" s="38"/>
      <c r="M226" s="39"/>
      <c r="N226" s="39"/>
      <c r="O226" s="39"/>
      <c r="P226" s="40"/>
      <c r="Q226" s="75">
        <f t="shared" si="14"/>
        <v>0</v>
      </c>
      <c r="R226" s="73">
        <f t="shared" si="15"/>
        <v>0</v>
      </c>
    </row>
    <row r="227" spans="1:18" ht="15.75" x14ac:dyDescent="0.25">
      <c r="A227" s="33">
        <f>_xlfn.AGGREGATE(3,5,$B$26:B227)</f>
        <v>202</v>
      </c>
      <c r="B227" s="82" t="s">
        <v>363</v>
      </c>
      <c r="C227" s="79" t="s">
        <v>195</v>
      </c>
      <c r="D227" s="79">
        <v>0.39700000000000002</v>
      </c>
      <c r="E227" s="83">
        <v>10</v>
      </c>
      <c r="F227" s="38"/>
      <c r="G227" s="38"/>
      <c r="H227" s="38"/>
      <c r="I227" s="38"/>
      <c r="J227" s="38"/>
      <c r="K227" s="38"/>
      <c r="L227" s="38"/>
      <c r="M227" s="39"/>
      <c r="N227" s="39"/>
      <c r="O227" s="39"/>
      <c r="P227" s="40"/>
      <c r="Q227" s="75">
        <f t="shared" si="14"/>
        <v>0</v>
      </c>
      <c r="R227" s="73">
        <f t="shared" si="15"/>
        <v>0</v>
      </c>
    </row>
    <row r="228" spans="1:18" ht="15.75" x14ac:dyDescent="0.25">
      <c r="A228" s="33">
        <f>_xlfn.AGGREGATE(3,5,$B$26:B228)</f>
        <v>203</v>
      </c>
      <c r="B228" s="82" t="s">
        <v>372</v>
      </c>
      <c r="C228" s="79" t="s">
        <v>372</v>
      </c>
      <c r="D228" s="79">
        <v>0.31469999999999998</v>
      </c>
      <c r="E228" s="83"/>
      <c r="F228" s="38"/>
      <c r="G228" s="38"/>
      <c r="H228" s="38"/>
      <c r="I228" s="38"/>
      <c r="J228" s="38"/>
      <c r="K228" s="38"/>
      <c r="L228" s="38"/>
      <c r="M228" s="39"/>
      <c r="N228" s="39"/>
      <c r="O228" s="39"/>
      <c r="P228" s="40"/>
      <c r="Q228" s="75">
        <f t="shared" si="14"/>
        <v>0</v>
      </c>
      <c r="R228" s="73">
        <f t="shared" si="15"/>
        <v>0</v>
      </c>
    </row>
    <row r="229" spans="1:18" ht="15.75" x14ac:dyDescent="0.25">
      <c r="A229" s="33">
        <f>_xlfn.AGGREGATE(3,5,$B$26:B229)</f>
        <v>204</v>
      </c>
      <c r="B229" s="82" t="s">
        <v>373</v>
      </c>
      <c r="C229" s="79" t="s">
        <v>373</v>
      </c>
      <c r="D229" s="79">
        <v>0.59370000000000001</v>
      </c>
      <c r="E229" s="83"/>
      <c r="F229" s="38"/>
      <c r="G229" s="38"/>
      <c r="H229" s="38"/>
      <c r="I229" s="38"/>
      <c r="J229" s="38"/>
      <c r="K229" s="38"/>
      <c r="L229" s="38"/>
      <c r="M229" s="39"/>
      <c r="N229" s="39"/>
      <c r="O229" s="39"/>
      <c r="P229" s="40"/>
      <c r="Q229" s="75">
        <f t="shared" si="14"/>
        <v>0</v>
      </c>
      <c r="R229" s="73">
        <f t="shared" si="15"/>
        <v>0</v>
      </c>
    </row>
    <row r="230" spans="1:18" ht="15.75" x14ac:dyDescent="0.25">
      <c r="A230" s="33">
        <f>_xlfn.AGGREGATE(3,5,$B$26:B230)</f>
        <v>205</v>
      </c>
      <c r="B230" s="82" t="s">
        <v>374</v>
      </c>
      <c r="C230" s="79" t="s">
        <v>374</v>
      </c>
      <c r="D230" s="79">
        <v>0.17</v>
      </c>
      <c r="E230" s="83"/>
      <c r="F230" s="38"/>
      <c r="G230" s="38"/>
      <c r="H230" s="38"/>
      <c r="I230" s="38"/>
      <c r="J230" s="38"/>
      <c r="K230" s="38"/>
      <c r="L230" s="38"/>
      <c r="M230" s="39"/>
      <c r="N230" s="39"/>
      <c r="O230" s="39"/>
      <c r="P230" s="40"/>
      <c r="Q230" s="75">
        <f t="shared" si="14"/>
        <v>0</v>
      </c>
      <c r="R230" s="73">
        <f t="shared" si="15"/>
        <v>0</v>
      </c>
    </row>
    <row r="231" spans="1:18" ht="15.75" x14ac:dyDescent="0.25">
      <c r="A231" s="33">
        <f>_xlfn.AGGREGATE(3,5,$B$26:B231)</f>
        <v>206</v>
      </c>
      <c r="B231" s="82" t="s">
        <v>375</v>
      </c>
      <c r="C231" s="79" t="s">
        <v>375</v>
      </c>
      <c r="D231" s="79">
        <v>0.17</v>
      </c>
      <c r="E231" s="83"/>
      <c r="F231" s="38"/>
      <c r="G231" s="38"/>
      <c r="H231" s="38"/>
      <c r="I231" s="38"/>
      <c r="J231" s="38"/>
      <c r="K231" s="38"/>
      <c r="L231" s="38"/>
      <c r="M231" s="39"/>
      <c r="N231" s="39"/>
      <c r="O231" s="39"/>
      <c r="P231" s="40"/>
      <c r="Q231" s="75">
        <f t="shared" si="14"/>
        <v>0</v>
      </c>
      <c r="R231" s="73">
        <f t="shared" si="15"/>
        <v>0</v>
      </c>
    </row>
    <row r="232" spans="1:18" ht="15.75" x14ac:dyDescent="0.25">
      <c r="A232" s="33">
        <f>_xlfn.AGGREGATE(3,5,$B$26:B232)</f>
        <v>207</v>
      </c>
      <c r="B232" s="82" t="s">
        <v>376</v>
      </c>
      <c r="C232" s="79" t="s">
        <v>376</v>
      </c>
      <c r="D232" s="79">
        <v>0.28000000000000003</v>
      </c>
      <c r="E232" s="83"/>
      <c r="F232" s="38"/>
      <c r="G232" s="38"/>
      <c r="H232" s="38"/>
      <c r="I232" s="38"/>
      <c r="J232" s="38"/>
      <c r="K232" s="38"/>
      <c r="L232" s="38"/>
      <c r="M232" s="39"/>
      <c r="N232" s="39"/>
      <c r="O232" s="39"/>
      <c r="P232" s="40"/>
      <c r="Q232" s="75">
        <f t="shared" si="14"/>
        <v>0</v>
      </c>
      <c r="R232" s="73">
        <f t="shared" si="15"/>
        <v>0</v>
      </c>
    </row>
    <row r="233" spans="1:18" ht="15.75" x14ac:dyDescent="0.25">
      <c r="A233" s="33">
        <f>_xlfn.AGGREGATE(3,5,$B$26:B233)</f>
        <v>208</v>
      </c>
      <c r="B233" s="82" t="s">
        <v>377</v>
      </c>
      <c r="C233" s="79" t="s">
        <v>377</v>
      </c>
      <c r="D233" s="79">
        <v>0.16300000000000001</v>
      </c>
      <c r="E233" s="83"/>
      <c r="F233" s="38"/>
      <c r="G233" s="38"/>
      <c r="H233" s="38"/>
      <c r="I233" s="38"/>
      <c r="J233" s="38"/>
      <c r="K233" s="38"/>
      <c r="L233" s="38"/>
      <c r="M233" s="39"/>
      <c r="N233" s="39"/>
      <c r="O233" s="39"/>
      <c r="P233" s="40"/>
      <c r="Q233" s="75">
        <f t="shared" si="14"/>
        <v>0</v>
      </c>
      <c r="R233" s="73">
        <f t="shared" si="15"/>
        <v>0</v>
      </c>
    </row>
    <row r="234" spans="1:18" ht="15.75" x14ac:dyDescent="0.25">
      <c r="A234" s="33">
        <f>_xlfn.AGGREGATE(3,5,$B$26:B234)</f>
        <v>209</v>
      </c>
      <c r="B234" s="82" t="s">
        <v>382</v>
      </c>
      <c r="C234" s="82" t="s">
        <v>382</v>
      </c>
      <c r="D234" s="79">
        <v>1.615</v>
      </c>
      <c r="E234" s="83">
        <v>2</v>
      </c>
      <c r="F234" s="38"/>
      <c r="G234" s="38"/>
      <c r="H234" s="38"/>
      <c r="I234" s="38"/>
      <c r="J234" s="38"/>
      <c r="K234" s="38"/>
      <c r="L234" s="38"/>
      <c r="M234" s="39"/>
      <c r="N234" s="39"/>
      <c r="O234" s="39"/>
      <c r="P234" s="40"/>
      <c r="Q234" s="75">
        <f t="shared" si="14"/>
        <v>0</v>
      </c>
      <c r="R234" s="73">
        <f t="shared" si="15"/>
        <v>0</v>
      </c>
    </row>
    <row r="235" spans="1:18" ht="15.75" x14ac:dyDescent="0.25">
      <c r="A235" s="33">
        <f>_xlfn.AGGREGATE(3,5,$B$26:B235)</f>
        <v>210</v>
      </c>
      <c r="B235" s="82" t="s">
        <v>383</v>
      </c>
      <c r="C235" s="82" t="s">
        <v>383</v>
      </c>
      <c r="D235" s="79">
        <v>2.2450000000000001</v>
      </c>
      <c r="E235" s="83">
        <v>2</v>
      </c>
      <c r="F235" s="38"/>
      <c r="G235" s="38"/>
      <c r="H235" s="38"/>
      <c r="I235" s="38"/>
      <c r="J235" s="38"/>
      <c r="K235" s="38"/>
      <c r="L235" s="38"/>
      <c r="M235" s="39"/>
      <c r="N235" s="39"/>
      <c r="O235" s="39"/>
      <c r="P235" s="40"/>
      <c r="Q235" s="75">
        <f t="shared" si="14"/>
        <v>0</v>
      </c>
      <c r="R235" s="73">
        <f t="shared" si="15"/>
        <v>0</v>
      </c>
    </row>
    <row r="236" spans="1:18" ht="15.75" x14ac:dyDescent="0.25">
      <c r="A236" s="33">
        <f>_xlfn.AGGREGATE(3,5,$B$26:B236)</f>
        <v>211</v>
      </c>
      <c r="B236" s="82" t="s">
        <v>384</v>
      </c>
      <c r="C236" s="82" t="s">
        <v>384</v>
      </c>
      <c r="D236" s="79">
        <v>0.75</v>
      </c>
      <c r="E236" s="83">
        <v>5</v>
      </c>
      <c r="F236" s="38"/>
      <c r="G236" s="38"/>
      <c r="H236" s="38"/>
      <c r="I236" s="38"/>
      <c r="J236" s="38"/>
      <c r="K236" s="38"/>
      <c r="L236" s="38"/>
      <c r="M236" s="39"/>
      <c r="N236" s="39"/>
      <c r="O236" s="39"/>
      <c r="P236" s="40"/>
      <c r="Q236" s="75">
        <f t="shared" si="14"/>
        <v>0</v>
      </c>
      <c r="R236" s="73">
        <f t="shared" si="15"/>
        <v>0</v>
      </c>
    </row>
    <row r="237" spans="1:18" ht="15.75" x14ac:dyDescent="0.25">
      <c r="A237" s="33">
        <f>_xlfn.AGGREGATE(3,5,$B$26:B237)</f>
        <v>212</v>
      </c>
      <c r="B237" s="82" t="s">
        <v>396</v>
      </c>
      <c r="C237" s="79" t="s">
        <v>397</v>
      </c>
      <c r="D237" s="79">
        <v>0.9</v>
      </c>
      <c r="E237" s="83"/>
      <c r="F237" s="38"/>
      <c r="G237" s="38"/>
      <c r="H237" s="38"/>
      <c r="I237" s="38"/>
      <c r="J237" s="38"/>
      <c r="K237" s="38"/>
      <c r="L237" s="38"/>
      <c r="M237" s="39"/>
      <c r="N237" s="39"/>
      <c r="O237" s="39"/>
      <c r="P237" s="40"/>
      <c r="Q237" s="75">
        <f t="shared" si="14"/>
        <v>0</v>
      </c>
      <c r="R237" s="73">
        <f t="shared" si="15"/>
        <v>0</v>
      </c>
    </row>
    <row r="238" spans="1:18" ht="15.75" x14ac:dyDescent="0.25">
      <c r="A238" s="33">
        <f>_xlfn.AGGREGATE(3,5,$B$26:B238)</f>
        <v>212</v>
      </c>
      <c r="B238" s="82"/>
      <c r="C238" s="79" t="s">
        <v>398</v>
      </c>
      <c r="D238" s="79"/>
      <c r="E238" s="83"/>
      <c r="F238" s="38"/>
      <c r="G238" s="38"/>
      <c r="H238" s="38"/>
      <c r="I238" s="38"/>
      <c r="J238" s="38"/>
      <c r="K238" s="38"/>
      <c r="L238" s="38"/>
      <c r="M238" s="39"/>
      <c r="N238" s="39"/>
      <c r="O238" s="39"/>
      <c r="P238" s="40"/>
      <c r="Q238" s="75">
        <f t="shared" si="14"/>
        <v>0</v>
      </c>
      <c r="R238" s="73">
        <f t="shared" si="15"/>
        <v>0</v>
      </c>
    </row>
    <row r="239" spans="1:18" ht="15.75" x14ac:dyDescent="0.25">
      <c r="A239" s="33">
        <f>_xlfn.AGGREGATE(3,5,$B$26:B239)</f>
        <v>213</v>
      </c>
      <c r="B239" s="82" t="s">
        <v>401</v>
      </c>
      <c r="C239" s="79" t="s">
        <v>258</v>
      </c>
      <c r="D239" s="79">
        <v>0.35</v>
      </c>
      <c r="E239" s="83">
        <v>10</v>
      </c>
      <c r="F239" s="38"/>
      <c r="G239" s="38"/>
      <c r="H239" s="38"/>
      <c r="I239" s="38"/>
      <c r="J239" s="38"/>
      <c r="K239" s="38"/>
      <c r="L239" s="38"/>
      <c r="M239" s="39"/>
      <c r="N239" s="39"/>
      <c r="O239" s="39"/>
      <c r="P239" s="40"/>
      <c r="Q239" s="75">
        <f t="shared" si="14"/>
        <v>0</v>
      </c>
      <c r="R239" s="73">
        <f t="shared" si="15"/>
        <v>0</v>
      </c>
    </row>
    <row r="240" spans="1:18" ht="15.75" x14ac:dyDescent="0.25">
      <c r="A240" s="33">
        <f>_xlfn.AGGREGATE(3,5,$B$26:B240)</f>
        <v>214</v>
      </c>
      <c r="B240" s="82" t="s">
        <v>404</v>
      </c>
      <c r="C240" s="79" t="s">
        <v>290</v>
      </c>
      <c r="D240" s="79">
        <v>0.35</v>
      </c>
      <c r="E240" s="83">
        <v>10</v>
      </c>
      <c r="F240" s="38"/>
      <c r="G240" s="38"/>
      <c r="H240" s="38"/>
      <c r="I240" s="38"/>
      <c r="J240" s="38"/>
      <c r="K240" s="38"/>
      <c r="L240" s="38"/>
      <c r="M240" s="39"/>
      <c r="N240" s="39"/>
      <c r="O240" s="39"/>
      <c r="P240" s="40"/>
      <c r="Q240" s="75">
        <f t="shared" si="14"/>
        <v>0</v>
      </c>
      <c r="R240" s="73">
        <f t="shared" si="15"/>
        <v>0</v>
      </c>
    </row>
    <row r="241" spans="1:22" ht="15.75" x14ac:dyDescent="0.25">
      <c r="A241" s="33">
        <f>_xlfn.AGGREGATE(3,5,$B$26:B241)</f>
        <v>215</v>
      </c>
      <c r="B241" s="82" t="s">
        <v>405</v>
      </c>
      <c r="C241" s="79" t="s">
        <v>406</v>
      </c>
      <c r="D241" s="79">
        <v>1.6</v>
      </c>
      <c r="E241" s="83">
        <v>2</v>
      </c>
      <c r="F241" s="38"/>
      <c r="G241" s="38"/>
      <c r="H241" s="38"/>
      <c r="I241" s="38"/>
      <c r="J241" s="38"/>
      <c r="K241" s="38"/>
      <c r="L241" s="38"/>
      <c r="M241" s="39"/>
      <c r="N241" s="39"/>
      <c r="O241" s="39"/>
      <c r="P241" s="40"/>
      <c r="Q241" s="75">
        <f t="shared" ref="Q241:Q243" si="16">SUM(F241:P241)*E241</f>
        <v>0</v>
      </c>
      <c r="R241" s="73">
        <f t="shared" si="15"/>
        <v>0</v>
      </c>
    </row>
    <row r="242" spans="1:22" ht="15.75" x14ac:dyDescent="0.25">
      <c r="A242" s="33">
        <f>_xlfn.AGGREGATE(3,5,$B$26:B242)</f>
        <v>215</v>
      </c>
      <c r="B242" s="82"/>
      <c r="C242" s="79"/>
      <c r="D242" s="79"/>
      <c r="E242" s="83"/>
      <c r="F242" s="38"/>
      <c r="G242" s="38"/>
      <c r="H242" s="38"/>
      <c r="I242" s="38"/>
      <c r="J242" s="38"/>
      <c r="K242" s="38"/>
      <c r="L242" s="38"/>
      <c r="M242" s="39"/>
      <c r="N242" s="39"/>
      <c r="O242" s="39"/>
      <c r="P242" s="40"/>
      <c r="Q242" s="75">
        <f t="shared" si="16"/>
        <v>0</v>
      </c>
      <c r="R242" s="73">
        <f t="shared" si="15"/>
        <v>0</v>
      </c>
    </row>
    <row r="243" spans="1:22" ht="15.75" x14ac:dyDescent="0.25">
      <c r="A243" s="33">
        <f>_xlfn.AGGREGATE(3,5,$B$26:B243)</f>
        <v>215</v>
      </c>
      <c r="B243" s="82"/>
      <c r="C243" s="79"/>
      <c r="D243" s="79"/>
      <c r="E243" s="83"/>
      <c r="F243" s="38"/>
      <c r="G243" s="38"/>
      <c r="H243" s="38"/>
      <c r="I243" s="38"/>
      <c r="J243" s="38"/>
      <c r="K243" s="38"/>
      <c r="L243" s="38"/>
      <c r="M243" s="39"/>
      <c r="N243" s="39"/>
      <c r="O243" s="39"/>
      <c r="P243" s="40"/>
      <c r="Q243" s="75">
        <f t="shared" si="16"/>
        <v>0</v>
      </c>
      <c r="R243" s="73">
        <f t="shared" si="15"/>
        <v>0</v>
      </c>
    </row>
    <row r="244" spans="1:22" ht="15.75" x14ac:dyDescent="0.25">
      <c r="A244" s="33">
        <f>_xlfn.AGGREGATE(3,5,$B$26:B244)</f>
        <v>215</v>
      </c>
      <c r="B244" s="82"/>
      <c r="C244" s="79"/>
      <c r="D244" s="79"/>
      <c r="E244" s="83"/>
      <c r="F244" s="38"/>
      <c r="G244" s="38"/>
      <c r="H244" s="38"/>
      <c r="I244" s="38"/>
      <c r="J244" s="38"/>
      <c r="K244" s="38"/>
      <c r="L244" s="38"/>
      <c r="M244" s="39"/>
      <c r="N244" s="39"/>
      <c r="O244" s="39"/>
      <c r="P244" s="40"/>
      <c r="Q244" s="75">
        <f>SUM(F244:P244)</f>
        <v>0</v>
      </c>
      <c r="R244" s="73">
        <f t="shared" si="15"/>
        <v>0</v>
      </c>
    </row>
    <row r="245" spans="1:22" ht="15.75" x14ac:dyDescent="0.25">
      <c r="A245" s="33">
        <f>_xlfn.AGGREGATE(3,5,$B$26:B245)</f>
        <v>215</v>
      </c>
      <c r="B245" s="82"/>
      <c r="C245" s="79"/>
      <c r="D245" s="79"/>
      <c r="E245" s="83"/>
      <c r="F245" s="38"/>
      <c r="G245" s="38"/>
      <c r="H245" s="38"/>
      <c r="I245" s="38"/>
      <c r="J245" s="38"/>
      <c r="K245" s="38"/>
      <c r="L245" s="38"/>
      <c r="M245" s="39"/>
      <c r="N245" s="39"/>
      <c r="O245" s="39"/>
      <c r="P245" s="40"/>
      <c r="Q245" s="75">
        <f>SUM(F245:P245)</f>
        <v>0</v>
      </c>
      <c r="R245" s="73">
        <f t="shared" si="15"/>
        <v>0</v>
      </c>
    </row>
    <row r="246" spans="1:22" ht="15.75" x14ac:dyDescent="0.25">
      <c r="A246" s="33">
        <f>_xlfn.AGGREGATE(3,5,$B$26:B246)</f>
        <v>215</v>
      </c>
      <c r="B246" s="82"/>
      <c r="C246" s="79"/>
      <c r="D246" s="79"/>
      <c r="E246" s="83"/>
      <c r="F246" s="38"/>
      <c r="G246" s="38"/>
      <c r="H246" s="38"/>
      <c r="I246" s="38"/>
      <c r="J246" s="38"/>
      <c r="K246" s="38"/>
      <c r="L246" s="38"/>
      <c r="M246" s="39"/>
      <c r="N246" s="39"/>
      <c r="O246" s="39"/>
      <c r="P246" s="40"/>
      <c r="Q246" s="75">
        <f>SUM(F246:P246)</f>
        <v>0</v>
      </c>
      <c r="R246" s="73">
        <f t="shared" si="15"/>
        <v>0</v>
      </c>
    </row>
    <row r="247" spans="1:22" ht="15.75" customHeight="1" x14ac:dyDescent="0.25">
      <c r="A247" s="33">
        <f>_xlfn.AGGREGATE(3,5,$B$26:B247)</f>
        <v>215</v>
      </c>
      <c r="B247" s="82"/>
      <c r="C247" s="79"/>
      <c r="D247" s="79"/>
      <c r="E247" s="83"/>
      <c r="F247" s="38"/>
      <c r="G247" s="38"/>
      <c r="H247" s="38"/>
      <c r="I247" s="38"/>
      <c r="J247" s="38"/>
      <c r="K247" s="38"/>
      <c r="L247" s="38"/>
      <c r="M247" s="39"/>
      <c r="N247" s="39"/>
      <c r="O247" s="39"/>
      <c r="P247" s="40"/>
      <c r="Q247" s="75">
        <f>SUM(F247:P247)</f>
        <v>0</v>
      </c>
      <c r="R247" s="73">
        <f t="shared" si="15"/>
        <v>0</v>
      </c>
    </row>
    <row r="248" spans="1:22" s="87" customFormat="1" ht="15.75" x14ac:dyDescent="0.25">
      <c r="A248" s="150" t="s">
        <v>167</v>
      </c>
      <c r="B248" s="151"/>
      <c r="C248" s="151"/>
      <c r="D248" s="151"/>
      <c r="E248" s="152"/>
      <c r="F248" s="24">
        <f>SUM(F26:F247)</f>
        <v>0</v>
      </c>
      <c r="G248" s="24">
        <f t="shared" ref="G248:Q248" si="17">SUM(G26:G247)</f>
        <v>0</v>
      </c>
      <c r="H248" s="24">
        <f t="shared" si="17"/>
        <v>0</v>
      </c>
      <c r="I248" s="24">
        <f t="shared" si="17"/>
        <v>0</v>
      </c>
      <c r="J248" s="24">
        <f t="shared" si="17"/>
        <v>0</v>
      </c>
      <c r="K248" s="24">
        <f t="shared" si="17"/>
        <v>0</v>
      </c>
      <c r="L248" s="24">
        <f t="shared" si="17"/>
        <v>0</v>
      </c>
      <c r="M248" s="24">
        <f t="shared" si="17"/>
        <v>0</v>
      </c>
      <c r="N248" s="24">
        <f t="shared" si="17"/>
        <v>0</v>
      </c>
      <c r="O248" s="24">
        <f t="shared" si="17"/>
        <v>0</v>
      </c>
      <c r="P248" s="24">
        <f t="shared" si="17"/>
        <v>0</v>
      </c>
      <c r="Q248" s="24">
        <f t="shared" si="17"/>
        <v>0</v>
      </c>
      <c r="R248" s="86"/>
      <c r="S248" s="76">
        <f>+F248*E248*D248*6</f>
        <v>0</v>
      </c>
      <c r="T248" s="77">
        <f>+G248*E248*D248*6</f>
        <v>0</v>
      </c>
      <c r="U248" s="76" t="e">
        <f>+#REF!*E248*D248*6</f>
        <v>#REF!</v>
      </c>
      <c r="V248" s="76"/>
    </row>
    <row r="249" spans="1:22" ht="15.75" x14ac:dyDescent="0.25">
      <c r="A249" s="107"/>
      <c r="B249" s="11"/>
      <c r="C249" s="107"/>
      <c r="D249" s="108"/>
      <c r="E249" s="30"/>
      <c r="F249" s="20"/>
      <c r="G249" s="20"/>
      <c r="H249" s="20"/>
      <c r="I249" s="20"/>
      <c r="J249" s="20"/>
      <c r="K249" s="20"/>
      <c r="L249" s="20"/>
      <c r="M249" s="107"/>
      <c r="N249" s="107"/>
      <c r="O249" s="107"/>
      <c r="Q249" s="109"/>
    </row>
    <row r="250" spans="1:22" ht="15.75" x14ac:dyDescent="0.25">
      <c r="A250" s="107"/>
      <c r="B250" s="11"/>
      <c r="C250" s="107"/>
      <c r="D250" s="108"/>
      <c r="E250" s="30"/>
      <c r="F250" s="20"/>
      <c r="G250" s="20"/>
      <c r="H250" s="20"/>
      <c r="I250" s="20"/>
      <c r="J250" s="20"/>
      <c r="K250" s="20"/>
      <c r="L250" s="20"/>
      <c r="M250" s="107"/>
      <c r="N250" s="107"/>
      <c r="O250" s="107"/>
      <c r="Q250" s="109"/>
    </row>
    <row r="251" spans="1:22" s="113" customFormat="1" ht="15.75" customHeight="1" x14ac:dyDescent="0.2">
      <c r="A251" s="41" t="s">
        <v>8</v>
      </c>
      <c r="B251" s="110"/>
      <c r="C251" s="41"/>
      <c r="D251" s="171" t="s">
        <v>107</v>
      </c>
      <c r="E251" s="171"/>
      <c r="F251" s="171"/>
      <c r="G251" s="171"/>
      <c r="H251" s="56"/>
      <c r="I251" s="56"/>
      <c r="J251" s="56"/>
      <c r="K251" s="56"/>
      <c r="L251" s="59"/>
      <c r="M251" s="171" t="s">
        <v>108</v>
      </c>
      <c r="N251" s="171"/>
      <c r="O251" s="171"/>
      <c r="P251" s="171"/>
      <c r="Q251" s="111"/>
      <c r="R251" s="112"/>
    </row>
    <row r="252" spans="1:22" ht="15.75" customHeight="1" x14ac:dyDescent="0.25">
      <c r="A252" s="169" t="s">
        <v>9</v>
      </c>
      <c r="B252" s="169"/>
      <c r="C252" s="42"/>
      <c r="D252" s="169" t="s">
        <v>9</v>
      </c>
      <c r="E252" s="169"/>
      <c r="F252" s="169"/>
      <c r="G252" s="169"/>
      <c r="H252" s="25"/>
      <c r="I252" s="25"/>
      <c r="J252" s="25"/>
      <c r="K252" s="25"/>
      <c r="L252" s="25"/>
      <c r="M252" s="170" t="s">
        <v>9</v>
      </c>
      <c r="N252" s="170"/>
      <c r="O252" s="170"/>
      <c r="P252" s="170"/>
      <c r="Q252" s="114"/>
    </row>
    <row r="253" spans="1:22" ht="15.75" customHeight="1" x14ac:dyDescent="0.25">
      <c r="A253" s="25"/>
      <c r="B253" s="115"/>
      <c r="C253" s="25"/>
      <c r="D253" s="25"/>
      <c r="E253" s="116"/>
      <c r="F253" s="25"/>
      <c r="G253" s="25"/>
      <c r="H253" s="25"/>
      <c r="I253" s="25"/>
      <c r="J253" s="25"/>
      <c r="K253" s="25"/>
      <c r="L253" s="25"/>
      <c r="M253" s="129"/>
      <c r="N253" s="129"/>
      <c r="O253" s="129"/>
      <c r="P253" s="114"/>
      <c r="Q253" s="114"/>
    </row>
    <row r="254" spans="1:22" ht="15.75" x14ac:dyDescent="0.25">
      <c r="A254" s="25"/>
      <c r="B254" s="115"/>
      <c r="C254" s="25"/>
      <c r="D254" s="25"/>
      <c r="E254" s="116"/>
      <c r="F254" s="25"/>
      <c r="G254" s="25"/>
      <c r="H254" s="25"/>
      <c r="I254" s="25"/>
      <c r="J254" s="25"/>
      <c r="K254" s="25"/>
      <c r="L254" s="25"/>
      <c r="M254" s="129"/>
      <c r="N254" s="129"/>
      <c r="O254" s="129"/>
      <c r="P254" s="114"/>
      <c r="Q254" s="114"/>
    </row>
    <row r="255" spans="1:22" ht="15.75" x14ac:dyDescent="0.25">
      <c r="A255" s="59" t="s">
        <v>403</v>
      </c>
      <c r="B255" s="48"/>
      <c r="C255" s="19"/>
      <c r="D255" s="21"/>
      <c r="E255" s="43"/>
      <c r="F255" s="20"/>
      <c r="G255" s="20"/>
      <c r="H255" s="20"/>
      <c r="I255" s="20"/>
      <c r="J255" s="20"/>
      <c r="K255" s="20"/>
      <c r="L255" s="20"/>
      <c r="M255" s="19"/>
      <c r="N255" s="19"/>
      <c r="O255" s="19"/>
      <c r="P255"/>
    </row>
    <row r="256" spans="1:22" ht="15.75" x14ac:dyDescent="0.25">
      <c r="A256" s="54"/>
      <c r="B256" s="58"/>
      <c r="C256" s="19"/>
      <c r="D256" s="21"/>
      <c r="E256" s="43"/>
      <c r="F256" s="20"/>
      <c r="G256" s="20"/>
      <c r="H256" s="20"/>
      <c r="I256" s="20"/>
      <c r="J256" s="20"/>
      <c r="K256" s="20"/>
      <c r="L256" s="20"/>
      <c r="M256" s="19"/>
      <c r="N256" s="19"/>
      <c r="O256" s="19"/>
    </row>
    <row r="257" spans="1:18" ht="15.75" x14ac:dyDescent="0.25">
      <c r="A257" s="58"/>
      <c r="B257" s="48"/>
      <c r="C257" s="19"/>
      <c r="D257" s="21"/>
      <c r="E257" s="43"/>
      <c r="F257" s="20"/>
      <c r="G257" s="20"/>
      <c r="H257" s="20"/>
      <c r="I257" s="20"/>
      <c r="J257" s="20"/>
      <c r="K257" s="20"/>
      <c r="L257" s="20"/>
      <c r="M257" s="19"/>
      <c r="N257" s="19"/>
      <c r="O257" s="19"/>
    </row>
    <row r="258" spans="1:18" ht="15.75" x14ac:dyDescent="0.25">
      <c r="A258" s="44"/>
      <c r="B258" s="49"/>
      <c r="C258" s="44"/>
      <c r="D258" s="44"/>
      <c r="E258" s="43"/>
      <c r="F258" s="20"/>
      <c r="G258" s="20"/>
      <c r="H258" s="20"/>
      <c r="I258" s="20"/>
      <c r="J258" s="20"/>
      <c r="K258" s="20"/>
      <c r="L258" s="20"/>
      <c r="M258" s="19"/>
      <c r="N258" s="19"/>
      <c r="O258" s="19"/>
    </row>
    <row r="259" spans="1:18" ht="15.75" x14ac:dyDescent="0.25">
      <c r="A259" s="58"/>
      <c r="B259" s="48"/>
      <c r="C259" s="19"/>
      <c r="D259" s="21"/>
      <c r="E259" s="43"/>
      <c r="F259" s="20"/>
      <c r="G259" s="20"/>
      <c r="H259" s="20"/>
      <c r="I259" s="20"/>
      <c r="J259" s="20"/>
      <c r="K259" s="20"/>
      <c r="L259" s="20"/>
      <c r="M259" s="19"/>
      <c r="N259" s="19"/>
      <c r="O259" s="19"/>
    </row>
    <row r="260" spans="1:18" ht="15.75" x14ac:dyDescent="0.25">
      <c r="A260" s="47"/>
      <c r="B260" s="49"/>
      <c r="C260" s="19"/>
      <c r="D260" s="21"/>
      <c r="E260" s="43"/>
      <c r="F260" s="20"/>
      <c r="G260" s="20"/>
      <c r="H260" s="20"/>
      <c r="I260" s="20"/>
      <c r="J260" s="20"/>
      <c r="K260" s="20"/>
      <c r="L260" s="20"/>
      <c r="M260" s="19"/>
      <c r="N260" s="19"/>
      <c r="O260" s="19"/>
    </row>
    <row r="261" spans="1:18" ht="15.75" x14ac:dyDescent="0.25">
      <c r="A261" s="47"/>
      <c r="B261" s="48"/>
      <c r="C261" s="19"/>
      <c r="D261" s="21"/>
      <c r="E261" s="43"/>
      <c r="F261" s="20"/>
      <c r="G261" s="20"/>
      <c r="H261" s="20"/>
      <c r="I261" s="20"/>
      <c r="J261" s="20"/>
      <c r="K261" s="20"/>
      <c r="L261" s="20"/>
      <c r="M261" s="19"/>
      <c r="N261" s="19"/>
      <c r="O261" s="19"/>
    </row>
    <row r="262" spans="1:18" ht="15.75" x14ac:dyDescent="0.25">
      <c r="A262" s="47"/>
      <c r="B262" s="48"/>
      <c r="C262" s="19"/>
      <c r="D262" s="21"/>
      <c r="E262" s="43"/>
      <c r="F262" s="20"/>
      <c r="G262" s="20"/>
      <c r="H262" s="20"/>
      <c r="I262" s="20"/>
      <c r="J262" s="20"/>
      <c r="K262" s="20"/>
      <c r="L262" s="20"/>
      <c r="M262" s="19"/>
      <c r="N262" s="19"/>
      <c r="O262" s="19"/>
    </row>
    <row r="263" spans="1:18" ht="15.75" x14ac:dyDescent="0.25">
      <c r="A263" s="47"/>
      <c r="B263" s="48"/>
      <c r="C263" s="19"/>
      <c r="D263" s="21"/>
      <c r="E263" s="43"/>
      <c r="F263" s="20"/>
      <c r="G263" s="20"/>
      <c r="H263" s="20"/>
      <c r="I263" s="20"/>
      <c r="J263" s="20"/>
      <c r="K263" s="20"/>
      <c r="L263" s="20"/>
      <c r="M263" s="19"/>
      <c r="N263" s="19"/>
      <c r="O263" s="19"/>
    </row>
    <row r="264" spans="1:18" ht="15.75" x14ac:dyDescent="0.25">
      <c r="A264" s="47"/>
      <c r="B264" s="48"/>
      <c r="C264" s="19"/>
      <c r="D264" s="21"/>
      <c r="E264" s="43"/>
      <c r="F264" s="20"/>
      <c r="G264" s="20"/>
      <c r="H264" s="20"/>
      <c r="I264" s="20"/>
      <c r="J264" s="20"/>
      <c r="K264" s="20"/>
      <c r="L264" s="20"/>
      <c r="M264" s="19"/>
      <c r="N264" s="19"/>
      <c r="O264" s="19"/>
    </row>
    <row r="265" spans="1:18" ht="15.75" x14ac:dyDescent="0.25">
      <c r="A265" s="47"/>
      <c r="B265" s="48"/>
      <c r="C265" s="19"/>
      <c r="D265" s="21"/>
      <c r="E265" s="43"/>
      <c r="F265" s="20"/>
      <c r="G265" s="20"/>
      <c r="H265" s="20"/>
      <c r="I265" s="20"/>
      <c r="J265" s="20"/>
      <c r="K265" s="20"/>
      <c r="L265" s="20"/>
      <c r="M265" s="19"/>
      <c r="N265" s="19"/>
      <c r="O265" s="19"/>
    </row>
    <row r="266" spans="1:18" s="91" customFormat="1" x14ac:dyDescent="0.25">
      <c r="A266" s="22"/>
      <c r="B266" s="65"/>
      <c r="C266" s="5"/>
      <c r="D266" s="23"/>
      <c r="E266" s="27"/>
      <c r="F266" s="16"/>
      <c r="G266" s="16"/>
      <c r="H266" s="16"/>
      <c r="I266" s="16"/>
      <c r="J266" s="16"/>
      <c r="K266" s="16"/>
      <c r="L266" s="16"/>
      <c r="M266" s="5"/>
      <c r="N266" s="5"/>
      <c r="O266" s="5"/>
      <c r="Q266"/>
      <c r="R266" s="73"/>
    </row>
    <row r="267" spans="1:18" s="91" customFormat="1" x14ac:dyDescent="0.25">
      <c r="A267" s="22"/>
      <c r="B267" s="65"/>
      <c r="C267" s="5"/>
      <c r="D267" s="23"/>
      <c r="E267" s="27"/>
      <c r="F267" s="16"/>
      <c r="G267" s="16"/>
      <c r="H267" s="16"/>
      <c r="I267" s="16"/>
      <c r="J267" s="16"/>
      <c r="K267" s="16"/>
      <c r="L267" s="16"/>
      <c r="M267" s="5"/>
      <c r="N267" s="5"/>
      <c r="O267" s="5"/>
      <c r="Q267"/>
      <c r="R267" s="73"/>
    </row>
    <row r="268" spans="1:18" s="91" customFormat="1" x14ac:dyDescent="0.25">
      <c r="A268" s="22"/>
      <c r="B268" s="65"/>
      <c r="C268" s="5"/>
      <c r="D268" s="23"/>
      <c r="E268" s="27"/>
      <c r="F268" s="16"/>
      <c r="G268" s="16"/>
      <c r="H268" s="16"/>
      <c r="I268" s="16"/>
      <c r="J268" s="16"/>
      <c r="K268" s="16"/>
      <c r="L268" s="16"/>
      <c r="M268" s="5"/>
      <c r="N268" s="5"/>
      <c r="O268" s="5"/>
      <c r="Q268"/>
      <c r="R268" s="73"/>
    </row>
    <row r="269" spans="1:18" s="91" customFormat="1" x14ac:dyDescent="0.25">
      <c r="A269" s="22"/>
      <c r="B269" s="65"/>
      <c r="C269" s="5"/>
      <c r="D269" s="23"/>
      <c r="E269" s="27"/>
      <c r="F269" s="16"/>
      <c r="G269" s="16"/>
      <c r="H269" s="16"/>
      <c r="I269" s="16"/>
      <c r="J269" s="16"/>
      <c r="K269" s="16"/>
      <c r="L269" s="16"/>
      <c r="M269" s="5"/>
      <c r="N269" s="5"/>
      <c r="O269" s="5"/>
      <c r="Q269"/>
      <c r="R269" s="73"/>
    </row>
    <row r="270" spans="1:18" s="91" customFormat="1" x14ac:dyDescent="0.25">
      <c r="A270" s="22"/>
      <c r="B270" s="65"/>
      <c r="C270" s="5"/>
      <c r="D270" s="23"/>
      <c r="E270" s="27"/>
      <c r="F270" s="16"/>
      <c r="G270" s="16"/>
      <c r="H270" s="16"/>
      <c r="I270" s="16"/>
      <c r="J270" s="16"/>
      <c r="K270" s="16"/>
      <c r="L270" s="16"/>
      <c r="M270" s="5"/>
      <c r="N270" s="5"/>
      <c r="O270" s="5"/>
      <c r="Q270"/>
      <c r="R270" s="73"/>
    </row>
    <row r="271" spans="1:18" s="91" customFormat="1" x14ac:dyDescent="0.25">
      <c r="A271" s="22"/>
      <c r="B271" s="65"/>
      <c r="C271" s="5"/>
      <c r="D271" s="23"/>
      <c r="E271" s="27"/>
      <c r="F271" s="16"/>
      <c r="G271" s="16"/>
      <c r="H271" s="16"/>
      <c r="I271" s="16"/>
      <c r="J271" s="16"/>
      <c r="K271" s="16"/>
      <c r="L271" s="16"/>
      <c r="M271" s="5"/>
      <c r="N271" s="5"/>
      <c r="O271" s="5"/>
      <c r="Q271"/>
      <c r="R271" s="73"/>
    </row>
    <row r="272" spans="1:18" s="91" customFormat="1" x14ac:dyDescent="0.25">
      <c r="A272" s="22"/>
      <c r="B272" s="65"/>
      <c r="C272" s="5"/>
      <c r="D272" s="23"/>
      <c r="E272" s="27"/>
      <c r="F272" s="16"/>
      <c r="G272" s="16"/>
      <c r="H272" s="16"/>
      <c r="I272" s="16"/>
      <c r="J272" s="16"/>
      <c r="K272" s="16"/>
      <c r="L272" s="16"/>
      <c r="M272" s="5"/>
      <c r="N272" s="5"/>
      <c r="O272" s="5"/>
      <c r="Q272"/>
      <c r="R272" s="73"/>
    </row>
    <row r="273" spans="1:18" s="91" customFormat="1" x14ac:dyDescent="0.25">
      <c r="A273" s="22"/>
      <c r="B273" s="65"/>
      <c r="C273" s="5"/>
      <c r="D273" s="23"/>
      <c r="E273" s="27"/>
      <c r="F273" s="16"/>
      <c r="G273" s="16"/>
      <c r="H273" s="16"/>
      <c r="I273" s="16"/>
      <c r="J273" s="16"/>
      <c r="K273" s="16"/>
      <c r="L273" s="16"/>
      <c r="M273" s="5"/>
      <c r="N273" s="5"/>
      <c r="O273" s="5"/>
      <c r="Q273"/>
      <c r="R273" s="73"/>
    </row>
  </sheetData>
  <autoFilter ref="A25:XDP248"/>
  <mergeCells count="45">
    <mergeCell ref="M18:N18"/>
    <mergeCell ref="O18:P18"/>
    <mergeCell ref="B20:C20"/>
    <mergeCell ref="M20:N20"/>
    <mergeCell ref="O20:P20"/>
    <mergeCell ref="B19:C19"/>
    <mergeCell ref="M19:N19"/>
    <mergeCell ref="O19:P19"/>
    <mergeCell ref="A252:B252"/>
    <mergeCell ref="D252:G252"/>
    <mergeCell ref="M252:P252"/>
    <mergeCell ref="D251:G251"/>
    <mergeCell ref="M251:P251"/>
    <mergeCell ref="A248:E248"/>
    <mergeCell ref="F23:P23"/>
    <mergeCell ref="A23:A24"/>
    <mergeCell ref="B23:B24"/>
    <mergeCell ref="A3:E3"/>
    <mergeCell ref="A4:E4"/>
    <mergeCell ref="A7:Q7"/>
    <mergeCell ref="A8:Q8"/>
    <mergeCell ref="L10:N10"/>
    <mergeCell ref="O10:Q10"/>
    <mergeCell ref="C11:K11"/>
    <mergeCell ref="L11:N11"/>
    <mergeCell ref="O11:Q11"/>
    <mergeCell ref="C12:K12"/>
    <mergeCell ref="O12:Q12"/>
    <mergeCell ref="L13:M13"/>
    <mergeCell ref="C13:K13"/>
    <mergeCell ref="Q23:Q24"/>
    <mergeCell ref="C23:C24"/>
    <mergeCell ref="D23:D24"/>
    <mergeCell ref="E23:E24"/>
    <mergeCell ref="M21:N21"/>
    <mergeCell ref="O21:P21"/>
    <mergeCell ref="A21:K21"/>
    <mergeCell ref="E16:K16"/>
    <mergeCell ref="B16:C16"/>
    <mergeCell ref="M16:N16"/>
    <mergeCell ref="O16:P16"/>
    <mergeCell ref="O17:P17"/>
    <mergeCell ref="B17:C17"/>
    <mergeCell ref="M17:N17"/>
    <mergeCell ref="B18:C18"/>
  </mergeCells>
  <pageMargins left="0" right="0" top="0.25" bottom="0.25" header="0.3" footer="0.3"/>
  <pageSetup paperSize="9" scale="64" orientation="portrait" r:id="rId1"/>
  <colBreaks count="1" manualBreakCount="1">
    <brk id="1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PX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2026-02-11T00:56:56Z</cp:lastPrinted>
  <dcterms:created xsi:type="dcterms:W3CDTF">2018-06-16T08:09:01Z</dcterms:created>
  <dcterms:modified xsi:type="dcterms:W3CDTF">2026-02-25T04:10:37Z</dcterms:modified>
</cp:coreProperties>
</file>